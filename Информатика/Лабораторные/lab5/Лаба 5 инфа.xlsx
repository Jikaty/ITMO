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Workbook________" defaultThemeVersion="202300"/>
  <mc:AlternateContent xmlns:mc="http://schemas.openxmlformats.org/markup-compatibility/2006">
    <mc:Choice Requires="x15">
      <x15ac:absPath xmlns:x15ac="http://schemas.microsoft.com/office/spreadsheetml/2010/11/ac" url="C:\Users\Timoxa\Documents\ITMO\Инфа\"/>
    </mc:Choice>
  </mc:AlternateContent>
  <xr:revisionPtr revIDLastSave="0" documentId="13_ncr:1_{7DE70985-3E07-4DB2-B874-3B6120A47ACE}" xr6:coauthVersionLast="47" xr6:coauthVersionMax="47" xr10:uidLastSave="{00000000-0000-0000-0000-000000000000}"/>
  <bookViews>
    <workbookView xWindow="-120" yWindow="-120" windowWidth="29040" windowHeight="15720" xr2:uid="{0842AA56-8EAA-467B-9062-759A2D0B947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9" i="1" l="1"/>
  <c r="F34" i="1"/>
  <c r="X34" i="1" s="1"/>
  <c r="F14" i="1"/>
  <c r="F13" i="1"/>
  <c r="F40" i="1"/>
  <c r="X40" i="1" s="1"/>
  <c r="X58" i="1"/>
  <c r="X52" i="1"/>
  <c r="X46" i="1"/>
  <c r="X22" i="1"/>
  <c r="X28" i="1"/>
  <c r="F21" i="1"/>
  <c r="C11" i="1"/>
  <c r="C17" i="1" s="1"/>
  <c r="C10" i="1"/>
  <c r="C16" i="1" s="1"/>
  <c r="F16" i="1" s="1"/>
  <c r="C9" i="1"/>
  <c r="C8" i="1"/>
  <c r="C7" i="1"/>
  <c r="X56" i="1" l="1"/>
  <c r="Z56" i="1" s="1"/>
  <c r="F17" i="1"/>
  <c r="G16" i="1"/>
  <c r="H16" i="1"/>
  <c r="I16" i="1"/>
  <c r="K16" i="1"/>
  <c r="L16" i="1"/>
  <c r="R16" i="1"/>
  <c r="V16" i="1"/>
  <c r="U16" i="1"/>
  <c r="J16" i="1"/>
  <c r="M16" i="1"/>
  <c r="N16" i="1"/>
  <c r="O16" i="1"/>
  <c r="P16" i="1"/>
  <c r="Q16" i="1"/>
  <c r="S16" i="1"/>
  <c r="T16" i="1"/>
  <c r="F9" i="1"/>
  <c r="X57" i="1"/>
  <c r="Z57" i="1" s="1"/>
  <c r="F58" i="1"/>
  <c r="X27" i="1"/>
  <c r="Z27" i="1" s="1"/>
  <c r="F28" i="1"/>
  <c r="C14" i="1"/>
  <c r="X26" i="1"/>
  <c r="X21" i="1"/>
  <c r="Z21" i="1" s="1"/>
  <c r="F8" i="1"/>
  <c r="X50" i="1"/>
  <c r="Z50" i="1" s="1"/>
  <c r="F22" i="1"/>
  <c r="F52" i="1"/>
  <c r="X20" i="1"/>
  <c r="Z20" i="1" s="1"/>
  <c r="Z22" i="1" s="1"/>
  <c r="F7" i="1"/>
  <c r="G22" i="1"/>
  <c r="T22" i="1"/>
  <c r="S22" i="1"/>
  <c r="R22" i="1"/>
  <c r="P22" i="1"/>
  <c r="N22" i="1"/>
  <c r="L22" i="1"/>
  <c r="J22" i="1"/>
  <c r="H22" i="1"/>
  <c r="Q22" i="1"/>
  <c r="M22" i="1"/>
  <c r="K22" i="1"/>
  <c r="I22" i="1"/>
  <c r="R9" i="1"/>
  <c r="O9" i="1"/>
  <c r="I9" i="1"/>
  <c r="S9" i="1"/>
  <c r="P9" i="1"/>
  <c r="V9" i="1"/>
  <c r="L9" i="1"/>
  <c r="H9" i="1"/>
  <c r="C12" i="1"/>
  <c r="C15" i="1"/>
  <c r="F10" i="1"/>
  <c r="N10" i="1" s="1"/>
  <c r="C13" i="1"/>
  <c r="F11" i="1"/>
  <c r="N9" i="1"/>
  <c r="T9" i="1"/>
  <c r="J9" i="1"/>
  <c r="Q10" i="1"/>
  <c r="G10" i="1"/>
  <c r="Q9" i="1"/>
  <c r="G9" i="1"/>
  <c r="M10" i="1"/>
  <c r="M9" i="1"/>
  <c r="U9" i="1"/>
  <c r="K9" i="1"/>
  <c r="T10" i="1"/>
  <c r="K10" i="1"/>
  <c r="U8" i="1"/>
  <c r="H10" i="1"/>
  <c r="G17" i="1" l="1"/>
  <c r="G56" i="1" s="1"/>
  <c r="H17" i="1"/>
  <c r="H56" i="1" s="1"/>
  <c r="I17" i="1"/>
  <c r="I56" i="1" s="1"/>
  <c r="J17" i="1"/>
  <c r="J56" i="1" s="1"/>
  <c r="K17" i="1"/>
  <c r="K56" i="1" s="1"/>
  <c r="N17" i="1"/>
  <c r="N56" i="1" s="1"/>
  <c r="P17" i="1"/>
  <c r="P56" i="1" s="1"/>
  <c r="Q17" i="1"/>
  <c r="Q56" i="1" s="1"/>
  <c r="S17" i="1"/>
  <c r="S56" i="1" s="1"/>
  <c r="T17" i="1"/>
  <c r="T56" i="1" s="1"/>
  <c r="V17" i="1"/>
  <c r="V56" i="1" s="1"/>
  <c r="F56" i="1"/>
  <c r="L17" i="1"/>
  <c r="L56" i="1" s="1"/>
  <c r="M17" i="1"/>
  <c r="M56" i="1" s="1"/>
  <c r="O17" i="1"/>
  <c r="O56" i="1" s="1"/>
  <c r="R17" i="1"/>
  <c r="R56" i="1" s="1"/>
  <c r="U17" i="1"/>
  <c r="U56" i="1" s="1"/>
  <c r="F27" i="1"/>
  <c r="F57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H28" i="1"/>
  <c r="I28" i="1"/>
  <c r="X39" i="1"/>
  <c r="X51" i="1"/>
  <c r="Z51" i="1" s="1"/>
  <c r="Z52" i="1" s="1"/>
  <c r="Z26" i="1"/>
  <c r="Z28" i="1" s="1"/>
  <c r="X32" i="1"/>
  <c r="Z32" i="1" s="1"/>
  <c r="F26" i="1"/>
  <c r="F32" i="1" s="1"/>
  <c r="K8" i="1"/>
  <c r="H52" i="1"/>
  <c r="L52" i="1"/>
  <c r="O52" i="1"/>
  <c r="R52" i="1"/>
  <c r="U52" i="1"/>
  <c r="J52" i="1"/>
  <c r="M52" i="1"/>
  <c r="Q52" i="1"/>
  <c r="S52" i="1"/>
  <c r="V52" i="1"/>
  <c r="G52" i="1"/>
  <c r="I52" i="1"/>
  <c r="K52" i="1"/>
  <c r="N52" i="1"/>
  <c r="P52" i="1"/>
  <c r="T52" i="1"/>
  <c r="F50" i="1"/>
  <c r="F20" i="1"/>
  <c r="Z58" i="1"/>
  <c r="O28" i="1"/>
  <c r="K28" i="1"/>
  <c r="U28" i="1"/>
  <c r="L28" i="1"/>
  <c r="N28" i="1"/>
  <c r="V28" i="1"/>
  <c r="J28" i="1"/>
  <c r="P28" i="1"/>
  <c r="Q28" i="1"/>
  <c r="R28" i="1"/>
  <c r="S28" i="1"/>
  <c r="T28" i="1"/>
  <c r="G28" i="1"/>
  <c r="M28" i="1"/>
  <c r="Q8" i="1"/>
  <c r="H8" i="1"/>
  <c r="S8" i="1"/>
  <c r="M8" i="1"/>
  <c r="V8" i="1"/>
  <c r="J8" i="1"/>
  <c r="N8" i="1"/>
  <c r="T8" i="1"/>
  <c r="L8" i="1"/>
  <c r="O8" i="1"/>
  <c r="P8" i="1"/>
  <c r="I8" i="1"/>
  <c r="R8" i="1"/>
  <c r="G8" i="1"/>
  <c r="O22" i="1"/>
  <c r="U22" i="1"/>
  <c r="V22" i="1"/>
  <c r="K7" i="1"/>
  <c r="N7" i="1"/>
  <c r="O7" i="1"/>
  <c r="U7" i="1"/>
  <c r="R7" i="1"/>
  <c r="Q7" i="1"/>
  <c r="T7" i="1"/>
  <c r="S7" i="1"/>
  <c r="P7" i="1"/>
  <c r="I7" i="1"/>
  <c r="J7" i="1"/>
  <c r="L7" i="1"/>
  <c r="V7" i="1"/>
  <c r="G7" i="1"/>
  <c r="H7" i="1"/>
  <c r="M7" i="1"/>
  <c r="R27" i="1"/>
  <c r="R57" i="1"/>
  <c r="O27" i="1"/>
  <c r="O57" i="1"/>
  <c r="I57" i="1"/>
  <c r="I27" i="1"/>
  <c r="S57" i="1"/>
  <c r="S27" i="1"/>
  <c r="P57" i="1"/>
  <c r="P27" i="1"/>
  <c r="V57" i="1"/>
  <c r="V27" i="1"/>
  <c r="L57" i="1"/>
  <c r="L27" i="1"/>
  <c r="H57" i="1"/>
  <c r="H27" i="1"/>
  <c r="C18" i="1"/>
  <c r="F18" i="1" s="1"/>
  <c r="F12" i="1"/>
  <c r="G12" i="1" s="1"/>
  <c r="X45" i="1"/>
  <c r="Z45" i="1" s="1"/>
  <c r="F46" i="1"/>
  <c r="F15" i="1"/>
  <c r="X33" i="1"/>
  <c r="N57" i="1"/>
  <c r="N27" i="1"/>
  <c r="T57" i="1"/>
  <c r="T27" i="1"/>
  <c r="J57" i="1"/>
  <c r="J27" i="1"/>
  <c r="Q57" i="1"/>
  <c r="Q27" i="1"/>
  <c r="G57" i="1"/>
  <c r="G27" i="1"/>
  <c r="M57" i="1"/>
  <c r="M27" i="1"/>
  <c r="U57" i="1"/>
  <c r="U27" i="1"/>
  <c r="K27" i="1"/>
  <c r="K57" i="1"/>
  <c r="U26" i="1"/>
  <c r="U32" i="1" s="1"/>
  <c r="U21" i="1"/>
  <c r="V10" i="1"/>
  <c r="I10" i="1"/>
  <c r="O10" i="1"/>
  <c r="S10" i="1"/>
  <c r="L10" i="1"/>
  <c r="P10" i="1"/>
  <c r="U10" i="1"/>
  <c r="R10" i="1"/>
  <c r="J10" i="1"/>
  <c r="O11" i="1"/>
  <c r="R11" i="1"/>
  <c r="I11" i="1"/>
  <c r="S11" i="1"/>
  <c r="V11" i="1"/>
  <c r="H11" i="1"/>
  <c r="K11" i="1"/>
  <c r="U11" i="1"/>
  <c r="M11" i="1"/>
  <c r="G11" i="1"/>
  <c r="Q11" i="1"/>
  <c r="T11" i="1"/>
  <c r="J11" i="1"/>
  <c r="N11" i="1"/>
  <c r="P11" i="1"/>
  <c r="L11" i="1"/>
  <c r="G14" i="1" l="1"/>
  <c r="F39" i="1"/>
  <c r="K14" i="1"/>
  <c r="J14" i="1"/>
  <c r="I14" i="1"/>
  <c r="H14" i="1"/>
  <c r="V14" i="1"/>
  <c r="U14" i="1"/>
  <c r="T14" i="1"/>
  <c r="S14" i="1"/>
  <c r="R14" i="1"/>
  <c r="Q14" i="1"/>
  <c r="P14" i="1"/>
  <c r="O14" i="1"/>
  <c r="N14" i="1"/>
  <c r="F51" i="1"/>
  <c r="F44" i="1"/>
  <c r="M14" i="1"/>
  <c r="L14" i="1"/>
  <c r="Z39" i="1"/>
  <c r="X44" i="1"/>
  <c r="Z44" i="1" s="1"/>
  <c r="Z46" i="1" s="1"/>
  <c r="K21" i="1"/>
  <c r="K26" i="1"/>
  <c r="K32" i="1" s="1"/>
  <c r="Q21" i="1"/>
  <c r="Q26" i="1"/>
  <c r="Q32" i="1" s="1"/>
  <c r="H26" i="1"/>
  <c r="H32" i="1" s="1"/>
  <c r="H21" i="1"/>
  <c r="S21" i="1"/>
  <c r="S26" i="1"/>
  <c r="S32" i="1" s="1"/>
  <c r="M21" i="1"/>
  <c r="M26" i="1"/>
  <c r="M32" i="1" s="1"/>
  <c r="V21" i="1"/>
  <c r="V26" i="1"/>
  <c r="V32" i="1" s="1"/>
  <c r="J26" i="1"/>
  <c r="J32" i="1" s="1"/>
  <c r="J21" i="1"/>
  <c r="N21" i="1"/>
  <c r="N26" i="1"/>
  <c r="N32" i="1" s="1"/>
  <c r="T21" i="1"/>
  <c r="T26" i="1"/>
  <c r="T32" i="1" s="1"/>
  <c r="L21" i="1"/>
  <c r="L26" i="1"/>
  <c r="L32" i="1" s="1"/>
  <c r="O21" i="1"/>
  <c r="O26" i="1"/>
  <c r="O32" i="1" s="1"/>
  <c r="P21" i="1"/>
  <c r="P26" i="1"/>
  <c r="P32" i="1" s="1"/>
  <c r="I21" i="1"/>
  <c r="I26" i="1"/>
  <c r="I32" i="1" s="1"/>
  <c r="R21" i="1"/>
  <c r="R26" i="1"/>
  <c r="R32" i="1" s="1"/>
  <c r="G21" i="1"/>
  <c r="G26" i="1"/>
  <c r="G32" i="1" s="1"/>
  <c r="G18" i="1"/>
  <c r="H18" i="1"/>
  <c r="I18" i="1"/>
  <c r="J18" i="1"/>
  <c r="L18" i="1"/>
  <c r="M18" i="1"/>
  <c r="Q18" i="1"/>
  <c r="R18" i="1"/>
  <c r="T18" i="1"/>
  <c r="U18" i="1"/>
  <c r="S18" i="1"/>
  <c r="K18" i="1"/>
  <c r="N18" i="1"/>
  <c r="O18" i="1"/>
  <c r="P18" i="1"/>
  <c r="V18" i="1"/>
  <c r="U12" i="1"/>
  <c r="S12" i="1"/>
  <c r="P12" i="1"/>
  <c r="I12" i="1"/>
  <c r="V12" i="1"/>
  <c r="T12" i="1"/>
  <c r="R12" i="1"/>
  <c r="Q12" i="1"/>
  <c r="O12" i="1"/>
  <c r="N12" i="1"/>
  <c r="M12" i="1"/>
  <c r="L12" i="1"/>
  <c r="K12" i="1"/>
  <c r="J12" i="1"/>
  <c r="H12" i="1"/>
  <c r="L46" i="1"/>
  <c r="N46" i="1"/>
  <c r="P46" i="1"/>
  <c r="R46" i="1"/>
  <c r="T46" i="1"/>
  <c r="V46" i="1"/>
  <c r="M46" i="1"/>
  <c r="O46" i="1"/>
  <c r="Q46" i="1"/>
  <c r="S46" i="1"/>
  <c r="U46" i="1"/>
  <c r="H46" i="1"/>
  <c r="I46" i="1"/>
  <c r="J46" i="1"/>
  <c r="K46" i="1"/>
  <c r="G46" i="1"/>
  <c r="G15" i="1"/>
  <c r="G45" i="1" s="1"/>
  <c r="H15" i="1"/>
  <c r="H45" i="1" s="1"/>
  <c r="I15" i="1"/>
  <c r="I45" i="1" s="1"/>
  <c r="J15" i="1"/>
  <c r="J45" i="1" s="1"/>
  <c r="M15" i="1"/>
  <c r="M45" i="1" s="1"/>
  <c r="P15" i="1"/>
  <c r="P45" i="1" s="1"/>
  <c r="Q15" i="1"/>
  <c r="Q45" i="1" s="1"/>
  <c r="U15" i="1"/>
  <c r="U45" i="1" s="1"/>
  <c r="S15" i="1"/>
  <c r="S45" i="1" s="1"/>
  <c r="T15" i="1"/>
  <c r="T45" i="1" s="1"/>
  <c r="F45" i="1"/>
  <c r="K15" i="1"/>
  <c r="K45" i="1" s="1"/>
  <c r="L15" i="1"/>
  <c r="L45" i="1" s="1"/>
  <c r="N15" i="1"/>
  <c r="N45" i="1" s="1"/>
  <c r="O15" i="1"/>
  <c r="O45" i="1" s="1"/>
  <c r="R15" i="1"/>
  <c r="R45" i="1" s="1"/>
  <c r="V15" i="1"/>
  <c r="V45" i="1" s="1"/>
  <c r="Z33" i="1"/>
  <c r="Z34" i="1" s="1"/>
  <c r="X38" i="1"/>
  <c r="Z38" i="1" s="1"/>
  <c r="Z40" i="1" s="1"/>
  <c r="M13" i="1"/>
  <c r="L13" i="1"/>
  <c r="K13" i="1"/>
  <c r="J13" i="1"/>
  <c r="I13" i="1"/>
  <c r="H13" i="1"/>
  <c r="G13" i="1"/>
  <c r="F38" i="1"/>
  <c r="V13" i="1"/>
  <c r="U13" i="1"/>
  <c r="T13" i="1"/>
  <c r="S13" i="1"/>
  <c r="R13" i="1"/>
  <c r="Q13" i="1"/>
  <c r="P13" i="1"/>
  <c r="O13" i="1"/>
  <c r="N13" i="1"/>
  <c r="L40" i="1"/>
  <c r="M40" i="1"/>
  <c r="N40" i="1"/>
  <c r="O40" i="1"/>
  <c r="P40" i="1"/>
  <c r="Q40" i="1"/>
  <c r="R40" i="1"/>
  <c r="S40" i="1"/>
  <c r="T40" i="1"/>
  <c r="U40" i="1"/>
  <c r="V40" i="1"/>
  <c r="H40" i="1"/>
  <c r="I40" i="1"/>
  <c r="J40" i="1"/>
  <c r="K40" i="1"/>
  <c r="G40" i="1"/>
  <c r="V34" i="1"/>
  <c r="J34" i="1"/>
  <c r="L34" i="1"/>
  <c r="O34" i="1"/>
  <c r="Q34" i="1"/>
  <c r="S34" i="1"/>
  <c r="U34" i="1"/>
  <c r="I34" i="1"/>
  <c r="K34" i="1"/>
  <c r="M34" i="1"/>
  <c r="N34" i="1"/>
  <c r="P34" i="1"/>
  <c r="R34" i="1"/>
  <c r="T34" i="1"/>
  <c r="H34" i="1"/>
  <c r="G34" i="1"/>
  <c r="K50" i="1"/>
  <c r="K20" i="1"/>
  <c r="N50" i="1"/>
  <c r="N20" i="1"/>
  <c r="O50" i="1"/>
  <c r="O20" i="1"/>
  <c r="U50" i="1"/>
  <c r="U20" i="1"/>
  <c r="R50" i="1"/>
  <c r="R20" i="1"/>
  <c r="Q50" i="1"/>
  <c r="Q20" i="1"/>
  <c r="T50" i="1"/>
  <c r="T20" i="1"/>
  <c r="S50" i="1"/>
  <c r="S20" i="1"/>
  <c r="P50" i="1"/>
  <c r="P20" i="1"/>
  <c r="I50" i="1"/>
  <c r="I20" i="1"/>
  <c r="J50" i="1"/>
  <c r="J20" i="1"/>
  <c r="L50" i="1"/>
  <c r="L20" i="1"/>
  <c r="V50" i="1"/>
  <c r="V20" i="1"/>
  <c r="G50" i="1"/>
  <c r="G20" i="1"/>
  <c r="H50" i="1"/>
  <c r="H20" i="1"/>
  <c r="M50" i="1"/>
  <c r="M20" i="1"/>
  <c r="F33" i="1"/>
  <c r="G39" i="1" l="1"/>
  <c r="G44" i="1"/>
  <c r="G51" i="1" s="1"/>
  <c r="K44" i="1"/>
  <c r="K51" i="1" s="1"/>
  <c r="K39" i="1"/>
  <c r="J39" i="1"/>
  <c r="J44" i="1"/>
  <c r="J51" i="1" s="1"/>
  <c r="I39" i="1"/>
  <c r="I44" i="1"/>
  <c r="I51" i="1" s="1"/>
  <c r="H44" i="1"/>
  <c r="H51" i="1" s="1"/>
  <c r="H39" i="1"/>
  <c r="V44" i="1"/>
  <c r="V51" i="1" s="1"/>
  <c r="V39" i="1"/>
  <c r="U39" i="1"/>
  <c r="U44" i="1"/>
  <c r="U51" i="1" s="1"/>
  <c r="T44" i="1"/>
  <c r="T51" i="1" s="1"/>
  <c r="T39" i="1"/>
  <c r="S39" i="1"/>
  <c r="S44" i="1"/>
  <c r="S51" i="1" s="1"/>
  <c r="R39" i="1"/>
  <c r="R44" i="1"/>
  <c r="R51" i="1" s="1"/>
  <c r="Q44" i="1"/>
  <c r="Q51" i="1" s="1"/>
  <c r="Q39" i="1"/>
  <c r="P39" i="1"/>
  <c r="P44" i="1"/>
  <c r="P51" i="1" s="1"/>
  <c r="O39" i="1"/>
  <c r="O44" i="1"/>
  <c r="O51" i="1" s="1"/>
  <c r="N39" i="1"/>
  <c r="N44" i="1"/>
  <c r="N51" i="1" s="1"/>
  <c r="M39" i="1"/>
  <c r="M44" i="1"/>
  <c r="M51" i="1" s="1"/>
  <c r="L44" i="1"/>
  <c r="L51" i="1" s="1"/>
  <c r="L39" i="1"/>
  <c r="M33" i="1"/>
  <c r="M38" i="1"/>
  <c r="L33" i="1"/>
  <c r="L38" i="1"/>
  <c r="K33" i="1"/>
  <c r="K38" i="1"/>
  <c r="J33" i="1"/>
  <c r="J38" i="1"/>
  <c r="I33" i="1"/>
  <c r="I38" i="1"/>
  <c r="H33" i="1"/>
  <c r="H38" i="1"/>
  <c r="G33" i="1"/>
  <c r="G38" i="1"/>
  <c r="V33" i="1"/>
  <c r="V38" i="1"/>
  <c r="U33" i="1"/>
  <c r="U38" i="1"/>
  <c r="T33" i="1"/>
  <c r="T38" i="1"/>
  <c r="S33" i="1"/>
  <c r="S38" i="1"/>
  <c r="R33" i="1"/>
  <c r="R38" i="1"/>
  <c r="Q33" i="1"/>
  <c r="Q38" i="1"/>
  <c r="P33" i="1"/>
  <c r="P38" i="1"/>
  <c r="O33" i="1"/>
  <c r="O38" i="1"/>
  <c r="N33" i="1"/>
  <c r="N38" i="1"/>
</calcChain>
</file>

<file path=xl/sharedStrings.xml><?xml version="1.0" encoding="utf-8"?>
<sst xmlns="http://schemas.openxmlformats.org/spreadsheetml/2006/main" count="101" uniqueCount="59">
  <si>
    <t xml:space="preserve">A = </t>
  </si>
  <si>
    <t xml:space="preserve">C = </t>
  </si>
  <si>
    <t xml:space="preserve">X1 = </t>
  </si>
  <si>
    <t>X2 =</t>
  </si>
  <si>
    <t>X3 =</t>
  </si>
  <si>
    <t>X4 =</t>
  </si>
  <si>
    <t>X5 =</t>
  </si>
  <si>
    <t>X6 =</t>
  </si>
  <si>
    <t>X7 =</t>
  </si>
  <si>
    <t>X8 =</t>
  </si>
  <si>
    <t>X9 =</t>
  </si>
  <si>
    <t>X10 =</t>
  </si>
  <si>
    <t>X11 =</t>
  </si>
  <si>
    <t>X12 =</t>
  </si>
  <si>
    <t xml:space="preserve">A + C = </t>
  </si>
  <si>
    <t>A + C + C =</t>
  </si>
  <si>
    <t xml:space="preserve">C - A = </t>
  </si>
  <si>
    <t xml:space="preserve">65536 - X4 = </t>
  </si>
  <si>
    <t>-X1 =</t>
  </si>
  <si>
    <t xml:space="preserve">-X2 = </t>
  </si>
  <si>
    <t xml:space="preserve">-X3 = </t>
  </si>
  <si>
    <t xml:space="preserve">-X4 = </t>
  </si>
  <si>
    <t xml:space="preserve">-X5 = </t>
  </si>
  <si>
    <t xml:space="preserve">-X6 = </t>
  </si>
  <si>
    <t xml:space="preserve">B1 = </t>
  </si>
  <si>
    <t xml:space="preserve">B2 = </t>
  </si>
  <si>
    <t xml:space="preserve">B3 = </t>
  </si>
  <si>
    <t xml:space="preserve">B4 = </t>
  </si>
  <si>
    <t xml:space="preserve">B5 = </t>
  </si>
  <si>
    <t xml:space="preserve">B6 = </t>
  </si>
  <si>
    <t xml:space="preserve">B7 = </t>
  </si>
  <si>
    <t xml:space="preserve">B8 = </t>
  </si>
  <si>
    <t xml:space="preserve">B9 = </t>
  </si>
  <si>
    <t xml:space="preserve">B10 = </t>
  </si>
  <si>
    <t xml:space="preserve">B11 = </t>
  </si>
  <si>
    <t xml:space="preserve">B12 = </t>
  </si>
  <si>
    <t xml:space="preserve">B1 </t>
  </si>
  <si>
    <t>B2</t>
  </si>
  <si>
    <t xml:space="preserve">Result = </t>
  </si>
  <si>
    <t>B3</t>
  </si>
  <si>
    <t>Result =</t>
  </si>
  <si>
    <t>B7</t>
  </si>
  <si>
    <t>B8</t>
  </si>
  <si>
    <t>B9</t>
  </si>
  <si>
    <t>B1</t>
  </si>
  <si>
    <t>B11</t>
  </si>
  <si>
    <t>SF =</t>
  </si>
  <si>
    <t>CF = 0</t>
  </si>
  <si>
    <t>PF = 1</t>
  </si>
  <si>
    <t>AF = 0</t>
  </si>
  <si>
    <t>ZF = 0</t>
  </si>
  <si>
    <t>SF = 0</t>
  </si>
  <si>
    <t>OF = 0</t>
  </si>
  <si>
    <t>SF = 1</t>
  </si>
  <si>
    <t>OF = 1</t>
  </si>
  <si>
    <t>CF = 1</t>
  </si>
  <si>
    <t>PF = 0</t>
  </si>
  <si>
    <t>AF =1</t>
  </si>
  <si>
    <t>AF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</si>
</sst>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0"/>
      <color rgb="FFF9FAFB"/>
      <name val="Consolas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2" fillId="0" borderId="0" xfId="0" applyFont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614E-C0CF-4BAD-8F95-994CDD8188A0}">
  <sheetPr codeName="Worksheet____1"/>
  <dimension ref="A4:AG58"/>
  <sheetViews>
    <sheetView tabSelected="1" topLeftCell="A15" workbookViewId="0">
      <selection activeCell="A6" sqref="A6"/>
    </sheetView>
  </sheetViews>
  <sheetFormatPr defaultRowHeight="15" x14ac:dyDescent="0.25"/>
  <cols>
    <col min="2" max="2" width="13.5703125" customWidth="1"/>
    <col min="4" max="4" width="5" customWidth="1"/>
    <col min="6" max="6" width="20.7109375" customWidth="1"/>
    <col min="7" max="22" width="3.140625" customWidth="1"/>
    <col min="24" max="26" width="6.85546875" customWidth="1"/>
  </cols>
  <sheetData>
    <row r="4" spans="1:22" x14ac:dyDescent="0.25">
      <c r="B4" s="1" t="s">
        <v>0</v>
      </c>
      <c r="C4">
        <v>10280</v>
      </c>
    </row>
    <row r="5" spans="1:22" x14ac:dyDescent="0.25">
      <c r="B5" s="1" t="s">
        <v>1</v>
      </c>
      <c r="C5">
        <v>11442</v>
      </c>
    </row>
    <row r="6" spans="1:22" ht="15.75" thickBot="1" x14ac:dyDescent="0.3"/>
    <row r="7" spans="1:22" ht="15.75" thickBot="1" x14ac:dyDescent="0.3">
      <c r="A7" t="s">
        <v>2</v>
      </c>
      <c r="B7" t="s">
        <v>0</v>
      </c>
      <c r="C7">
        <f xml:space="preserve"> C4</f>
        <v>10280</v>
      </c>
      <c r="E7" t="s">
        <v>24</v>
      </c>
      <c r="F7" t="str">
        <f>_xlfn.BASE(C7,2,16)</f>
        <v>0010100000101000</v>
      </c>
      <c r="G7" s="5" t="str">
        <f>MID(F7,1,1)</f>
        <v>0</v>
      </c>
      <c r="H7" s="6" t="str">
        <f>MID(F7,2,1)</f>
        <v>0</v>
      </c>
      <c r="I7" s="6" t="str">
        <f>MID(F7,3,1)</f>
        <v>1</v>
      </c>
      <c r="J7" s="6" t="str">
        <f>MID(F7,4,1)</f>
        <v>0</v>
      </c>
      <c r="K7" s="6" t="str">
        <f>MID(F7,5,1)</f>
        <v>1</v>
      </c>
      <c r="L7" s="6" t="str">
        <f>MID(F7,6,1)</f>
        <v>0</v>
      </c>
      <c r="M7" s="6" t="str">
        <f>MID(F7,7,1)</f>
        <v>0</v>
      </c>
      <c r="N7" s="6" t="str">
        <f>MID(F7,8,1)</f>
        <v>0</v>
      </c>
      <c r="O7" s="6" t="str">
        <f>MID(F7,9,1)</f>
        <v>0</v>
      </c>
      <c r="P7" s="6" t="str">
        <f>MID(F7,10,1)</f>
        <v>0</v>
      </c>
      <c r="Q7" s="6" t="str">
        <f>MID(F7,11,1)</f>
        <v>1</v>
      </c>
      <c r="R7" s="6" t="str">
        <f>MID(F7,12,1)</f>
        <v>0</v>
      </c>
      <c r="S7" s="6" t="str">
        <f t="shared" ref="S7:S18" si="0">MID(F7,13,1)</f>
        <v>1</v>
      </c>
      <c r="T7" s="6" t="str">
        <f t="shared" ref="T7:T18" si="1">MID(F7,14,1)</f>
        <v>0</v>
      </c>
      <c r="U7" s="6" t="str">
        <f t="shared" ref="U7:U18" si="2">MID(F7,15,1)</f>
        <v>0</v>
      </c>
      <c r="V7" s="7" t="str">
        <f t="shared" ref="V7:V18" si="3">MID(F7,16,1)</f>
        <v>0</v>
      </c>
    </row>
    <row r="8" spans="1:22" ht="15.75" thickBot="1" x14ac:dyDescent="0.3">
      <c r="A8" t="s">
        <v>3</v>
      </c>
      <c r="B8" t="s">
        <v>1</v>
      </c>
      <c r="C8">
        <f xml:space="preserve"> C5</f>
        <v>11442</v>
      </c>
      <c r="E8" t="s">
        <v>25</v>
      </c>
      <c r="F8" t="str">
        <f t="shared" ref="F8:F11" si="4">_xlfn.BASE(C8,2,16)</f>
        <v>0010110010110010</v>
      </c>
      <c r="G8" s="1" t="str">
        <f t="shared" ref="G8:G18" si="5">MID(F8,1,1)</f>
        <v>0</v>
      </c>
      <c r="H8" s="1" t="str">
        <f t="shared" ref="H8:H18" si="6">MID(F8,2,1)</f>
        <v>0</v>
      </c>
      <c r="I8" s="1" t="str">
        <f t="shared" ref="I8:I18" si="7">MID(F8,3,1)</f>
        <v>1</v>
      </c>
      <c r="J8" s="1" t="str">
        <f t="shared" ref="J8:J18" si="8">MID(F8,4,1)</f>
        <v>0</v>
      </c>
      <c r="K8" s="1" t="str">
        <f t="shared" ref="K8:K18" si="9">MID(F8,5,1)</f>
        <v>1</v>
      </c>
      <c r="L8" s="1" t="str">
        <f t="shared" ref="L8:L18" si="10">MID(F8,6,1)</f>
        <v>1</v>
      </c>
      <c r="M8" s="1" t="str">
        <f t="shared" ref="M8:M18" si="11">MID(F8,7,1)</f>
        <v>0</v>
      </c>
      <c r="N8" s="1" t="str">
        <f t="shared" ref="N8:N18" si="12">MID(F8,8,1)</f>
        <v>0</v>
      </c>
      <c r="O8" s="1" t="str">
        <f t="shared" ref="O8:O18" si="13">MID(F8,9,1)</f>
        <v>1</v>
      </c>
      <c r="P8" s="1" t="str">
        <f t="shared" ref="P8:P18" si="14">MID(F8,10,1)</f>
        <v>0</v>
      </c>
      <c r="Q8" s="1" t="str">
        <f t="shared" ref="Q8:Q18" si="15">MID(F8,11,1)</f>
        <v>1</v>
      </c>
      <c r="R8" s="1" t="str">
        <f t="shared" ref="R8:R18" si="16">MID(F8,12,1)</f>
        <v>1</v>
      </c>
      <c r="S8" s="1" t="str">
        <f t="shared" si="0"/>
        <v>0</v>
      </c>
      <c r="T8" s="1" t="str">
        <f t="shared" si="1"/>
        <v>0</v>
      </c>
      <c r="U8" s="1" t="str">
        <f t="shared" si="2"/>
        <v>1</v>
      </c>
      <c r="V8" s="1" t="str">
        <f t="shared" si="3"/>
        <v>0</v>
      </c>
    </row>
    <row r="9" spans="1:22" ht="15.75" thickBot="1" x14ac:dyDescent="0.3">
      <c r="A9" t="s">
        <v>4</v>
      </c>
      <c r="B9" t="s">
        <v>14</v>
      </c>
      <c r="C9">
        <f xml:space="preserve"> C4 +C5</f>
        <v>21722</v>
      </c>
      <c r="E9" t="s">
        <v>26</v>
      </c>
      <c r="F9" t="str">
        <f t="shared" si="4"/>
        <v>0101010011011010</v>
      </c>
      <c r="G9" s="5" t="str">
        <f t="shared" si="5"/>
        <v>0</v>
      </c>
      <c r="H9" s="6" t="str">
        <f t="shared" si="6"/>
        <v>1</v>
      </c>
      <c r="I9" s="6" t="str">
        <f t="shared" si="7"/>
        <v>0</v>
      </c>
      <c r="J9" s="6" t="str">
        <f t="shared" si="8"/>
        <v>1</v>
      </c>
      <c r="K9" s="6" t="str">
        <f t="shared" si="9"/>
        <v>0</v>
      </c>
      <c r="L9" s="6" t="str">
        <f t="shared" si="10"/>
        <v>1</v>
      </c>
      <c r="M9" s="6" t="str">
        <f t="shared" si="11"/>
        <v>0</v>
      </c>
      <c r="N9" s="6" t="str">
        <f t="shared" si="12"/>
        <v>0</v>
      </c>
      <c r="O9" s="6" t="str">
        <f t="shared" si="13"/>
        <v>1</v>
      </c>
      <c r="P9" s="6" t="str">
        <f t="shared" si="14"/>
        <v>1</v>
      </c>
      <c r="Q9" s="6" t="str">
        <f t="shared" si="15"/>
        <v>0</v>
      </c>
      <c r="R9" s="6" t="str">
        <f t="shared" si="16"/>
        <v>1</v>
      </c>
      <c r="S9" s="6" t="str">
        <f t="shared" si="0"/>
        <v>1</v>
      </c>
      <c r="T9" s="6" t="str">
        <f t="shared" si="1"/>
        <v>0</v>
      </c>
      <c r="U9" s="6" t="str">
        <f t="shared" si="2"/>
        <v>1</v>
      </c>
      <c r="V9" s="7" t="str">
        <f t="shared" si="3"/>
        <v>0</v>
      </c>
    </row>
    <row r="10" spans="1:22" ht="15.75" thickBot="1" x14ac:dyDescent="0.3">
      <c r="A10" t="s">
        <v>5</v>
      </c>
      <c r="B10" t="s">
        <v>15</v>
      </c>
      <c r="C10">
        <f xml:space="preserve"> C4 + C5 +C5</f>
        <v>33164</v>
      </c>
      <c r="E10" t="s">
        <v>27</v>
      </c>
      <c r="F10" t="str">
        <f t="shared" si="4"/>
        <v>1000000110001100</v>
      </c>
      <c r="G10" s="1" t="str">
        <f t="shared" si="5"/>
        <v>1</v>
      </c>
      <c r="H10" s="1" t="str">
        <f t="shared" si="6"/>
        <v>0</v>
      </c>
      <c r="I10" s="1" t="str">
        <f t="shared" si="7"/>
        <v>0</v>
      </c>
      <c r="J10" s="1" t="str">
        <f t="shared" si="8"/>
        <v>0</v>
      </c>
      <c r="K10" s="1" t="str">
        <f t="shared" si="9"/>
        <v>0</v>
      </c>
      <c r="L10" s="1" t="str">
        <f t="shared" si="10"/>
        <v>0</v>
      </c>
      <c r="M10" s="1" t="str">
        <f t="shared" si="11"/>
        <v>0</v>
      </c>
      <c r="N10" s="1" t="str">
        <f t="shared" si="12"/>
        <v>1</v>
      </c>
      <c r="O10" s="1" t="str">
        <f t="shared" si="13"/>
        <v>1</v>
      </c>
      <c r="P10" s="1" t="str">
        <f t="shared" si="14"/>
        <v>0</v>
      </c>
      <c r="Q10" s="1" t="str">
        <f t="shared" si="15"/>
        <v>0</v>
      </c>
      <c r="R10" s="1" t="str">
        <f t="shared" si="16"/>
        <v>0</v>
      </c>
      <c r="S10" s="1" t="str">
        <f t="shared" si="0"/>
        <v>1</v>
      </c>
      <c r="T10" s="1" t="str">
        <f t="shared" si="1"/>
        <v>1</v>
      </c>
      <c r="U10" s="1" t="str">
        <f t="shared" si="2"/>
        <v>0</v>
      </c>
      <c r="V10" s="1" t="str">
        <f t="shared" si="3"/>
        <v>0</v>
      </c>
    </row>
    <row r="11" spans="1:22" ht="15.75" thickBot="1" x14ac:dyDescent="0.3">
      <c r="A11" t="s">
        <v>6</v>
      </c>
      <c r="B11" t="s">
        <v>16</v>
      </c>
      <c r="C11">
        <f xml:space="preserve"> C5 - C4</f>
        <v>1162</v>
      </c>
      <c r="E11" t="s">
        <v>28</v>
      </c>
      <c r="F11" t="str">
        <f t="shared" si="4"/>
        <v>0000010010001010</v>
      </c>
      <c r="G11" s="5" t="str">
        <f t="shared" si="5"/>
        <v>0</v>
      </c>
      <c r="H11" s="6" t="str">
        <f t="shared" si="6"/>
        <v>0</v>
      </c>
      <c r="I11" s="6" t="str">
        <f t="shared" si="7"/>
        <v>0</v>
      </c>
      <c r="J11" s="6" t="str">
        <f t="shared" si="8"/>
        <v>0</v>
      </c>
      <c r="K11" s="6" t="str">
        <f t="shared" si="9"/>
        <v>0</v>
      </c>
      <c r="L11" s="6" t="str">
        <f t="shared" si="10"/>
        <v>1</v>
      </c>
      <c r="M11" s="6" t="str">
        <f t="shared" si="11"/>
        <v>0</v>
      </c>
      <c r="N11" s="6" t="str">
        <f t="shared" si="12"/>
        <v>0</v>
      </c>
      <c r="O11" s="6" t="str">
        <f t="shared" si="13"/>
        <v>1</v>
      </c>
      <c r="P11" s="6" t="str">
        <f t="shared" si="14"/>
        <v>0</v>
      </c>
      <c r="Q11" s="6" t="str">
        <f t="shared" si="15"/>
        <v>0</v>
      </c>
      <c r="R11" s="6" t="str">
        <f t="shared" si="16"/>
        <v>0</v>
      </c>
      <c r="S11" s="6" t="str">
        <f t="shared" si="0"/>
        <v>1</v>
      </c>
      <c r="T11" s="6" t="str">
        <f t="shared" si="1"/>
        <v>0</v>
      </c>
      <c r="U11" s="6" t="str">
        <f t="shared" si="2"/>
        <v>1</v>
      </c>
      <c r="V11" s="7" t="str">
        <f t="shared" si="3"/>
        <v>0</v>
      </c>
    </row>
    <row r="12" spans="1:22" ht="15.75" thickBot="1" x14ac:dyDescent="0.3">
      <c r="A12" t="s">
        <v>7</v>
      </c>
      <c r="B12" t="s">
        <v>17</v>
      </c>
      <c r="C12">
        <f xml:space="preserve"> 65536 - C10</f>
        <v>32372</v>
      </c>
      <c r="E12" t="s">
        <v>29</v>
      </c>
      <c r="F12" t="str">
        <f>_xlfn.BASE(C12,2,16)</f>
        <v>0111111001110100</v>
      </c>
      <c r="G12" s="1" t="str">
        <f t="shared" si="5"/>
        <v>0</v>
      </c>
      <c r="H12" s="1" t="str">
        <f t="shared" si="6"/>
        <v>1</v>
      </c>
      <c r="I12" s="1" t="str">
        <f t="shared" si="7"/>
        <v>1</v>
      </c>
      <c r="J12" s="1" t="str">
        <f t="shared" si="8"/>
        <v>1</v>
      </c>
      <c r="K12" s="1" t="str">
        <f t="shared" si="9"/>
        <v>1</v>
      </c>
      <c r="L12" s="1" t="str">
        <f t="shared" si="10"/>
        <v>1</v>
      </c>
      <c r="M12" s="1" t="str">
        <f t="shared" si="11"/>
        <v>1</v>
      </c>
      <c r="N12" s="1" t="str">
        <f t="shared" si="12"/>
        <v>0</v>
      </c>
      <c r="O12" s="1" t="str">
        <f t="shared" si="13"/>
        <v>0</v>
      </c>
      <c r="P12" s="1" t="str">
        <f t="shared" si="14"/>
        <v>1</v>
      </c>
      <c r="Q12" s="1" t="str">
        <f t="shared" si="15"/>
        <v>1</v>
      </c>
      <c r="R12" s="1" t="str">
        <f t="shared" si="16"/>
        <v>1</v>
      </c>
      <c r="S12" s="1" t="str">
        <f t="shared" si="0"/>
        <v>0</v>
      </c>
      <c r="T12" s="1" t="str">
        <f t="shared" si="1"/>
        <v>1</v>
      </c>
      <c r="U12" s="1" t="str">
        <f t="shared" si="2"/>
        <v>0</v>
      </c>
      <c r="V12" s="1" t="str">
        <f t="shared" si="3"/>
        <v>0</v>
      </c>
    </row>
    <row r="13" spans="1:22" ht="15.75" thickBot="1" x14ac:dyDescent="0.3">
      <c r="A13" t="s">
        <v>8</v>
      </c>
      <c r="B13" s="2" t="s">
        <v>18</v>
      </c>
      <c r="C13">
        <f t="shared" ref="C13:C18" si="17" xml:space="preserve"> -C7</f>
        <v>-10280</v>
      </c>
      <c r="E13" t="s">
        <v>30</v>
      </c>
      <c r="F13" t="str">
        <f>_xlfn.BASE(C13+65536,2,16)</f>
        <v>1101011111011000</v>
      </c>
      <c r="G13" s="5" t="str">
        <f t="shared" si="5"/>
        <v>1</v>
      </c>
      <c r="H13" s="6" t="str">
        <f t="shared" si="6"/>
        <v>1</v>
      </c>
      <c r="I13" s="6" t="str">
        <f t="shared" si="7"/>
        <v>0</v>
      </c>
      <c r="J13" s="6" t="str">
        <f t="shared" si="8"/>
        <v>1</v>
      </c>
      <c r="K13" s="6" t="str">
        <f t="shared" si="9"/>
        <v>0</v>
      </c>
      <c r="L13" s="6" t="str">
        <f t="shared" si="10"/>
        <v>1</v>
      </c>
      <c r="M13" s="6" t="str">
        <f t="shared" si="11"/>
        <v>1</v>
      </c>
      <c r="N13" s="6" t="str">
        <f t="shared" si="12"/>
        <v>1</v>
      </c>
      <c r="O13" s="6" t="str">
        <f t="shared" si="13"/>
        <v>1</v>
      </c>
      <c r="P13" s="6" t="str">
        <f t="shared" si="14"/>
        <v>1</v>
      </c>
      <c r="Q13" s="6" t="str">
        <f t="shared" si="15"/>
        <v>0</v>
      </c>
      <c r="R13" s="6" t="str">
        <f t="shared" si="16"/>
        <v>1</v>
      </c>
      <c r="S13" s="6" t="str">
        <f t="shared" si="0"/>
        <v>1</v>
      </c>
      <c r="T13" s="6" t="str">
        <f t="shared" si="1"/>
        <v>0</v>
      </c>
      <c r="U13" s="6" t="str">
        <f t="shared" si="2"/>
        <v>0</v>
      </c>
      <c r="V13" s="7" t="str">
        <f t="shared" si="3"/>
        <v>0</v>
      </c>
    </row>
    <row r="14" spans="1:22" ht="15.75" thickBot="1" x14ac:dyDescent="0.3">
      <c r="A14" t="s">
        <v>9</v>
      </c>
      <c r="B14" s="2" t="s">
        <v>19</v>
      </c>
      <c r="C14">
        <f t="shared" si="17"/>
        <v>-11442</v>
      </c>
      <c r="E14" t="s">
        <v>31</v>
      </c>
      <c r="F14" t="str">
        <f>_xlfn.BASE(C14+65536,2,16)</f>
        <v>1101001101001110</v>
      </c>
      <c r="G14" s="1" t="str">
        <f t="shared" si="5"/>
        <v>1</v>
      </c>
      <c r="H14" s="1" t="str">
        <f t="shared" si="6"/>
        <v>1</v>
      </c>
      <c r="I14" s="1" t="str">
        <f t="shared" si="7"/>
        <v>0</v>
      </c>
      <c r="J14" s="1" t="str">
        <f t="shared" si="8"/>
        <v>1</v>
      </c>
      <c r="K14" s="1" t="str">
        <f t="shared" si="9"/>
        <v>0</v>
      </c>
      <c r="L14" s="1" t="str">
        <f t="shared" si="10"/>
        <v>0</v>
      </c>
      <c r="M14" s="1" t="str">
        <f t="shared" si="11"/>
        <v>1</v>
      </c>
      <c r="N14" s="1" t="str">
        <f t="shared" si="12"/>
        <v>1</v>
      </c>
      <c r="O14" s="1" t="str">
        <f t="shared" si="13"/>
        <v>0</v>
      </c>
      <c r="P14" s="1" t="str">
        <f t="shared" si="14"/>
        <v>1</v>
      </c>
      <c r="Q14" s="1" t="str">
        <f t="shared" si="15"/>
        <v>0</v>
      </c>
      <c r="R14" s="1" t="str">
        <f t="shared" si="16"/>
        <v>0</v>
      </c>
      <c r="S14" s="1" t="str">
        <f t="shared" si="0"/>
        <v>1</v>
      </c>
      <c r="T14" s="1" t="str">
        <f t="shared" si="1"/>
        <v>1</v>
      </c>
      <c r="U14" s="1" t="str">
        <f t="shared" si="2"/>
        <v>1</v>
      </c>
      <c r="V14" s="1" t="str">
        <f t="shared" si="3"/>
        <v>0</v>
      </c>
    </row>
    <row r="15" spans="1:22" ht="15.75" thickBot="1" x14ac:dyDescent="0.3">
      <c r="A15" t="s">
        <v>10</v>
      </c>
      <c r="B15" s="2" t="s">
        <v>20</v>
      </c>
      <c r="C15">
        <f t="shared" si="17"/>
        <v>-21722</v>
      </c>
      <c r="E15" t="s">
        <v>32</v>
      </c>
      <c r="F15" t="str">
        <f>_xlfn.BASE(C15+65536,2,16)</f>
        <v>1010101100100110</v>
      </c>
      <c r="G15" s="5" t="str">
        <f t="shared" si="5"/>
        <v>1</v>
      </c>
      <c r="H15" s="6" t="str">
        <f t="shared" si="6"/>
        <v>0</v>
      </c>
      <c r="I15" s="6" t="str">
        <f t="shared" si="7"/>
        <v>1</v>
      </c>
      <c r="J15" s="6" t="str">
        <f t="shared" si="8"/>
        <v>0</v>
      </c>
      <c r="K15" s="6" t="str">
        <f t="shared" si="9"/>
        <v>1</v>
      </c>
      <c r="L15" s="6" t="str">
        <f t="shared" si="10"/>
        <v>0</v>
      </c>
      <c r="M15" s="6" t="str">
        <f t="shared" si="11"/>
        <v>1</v>
      </c>
      <c r="N15" s="6" t="str">
        <f t="shared" si="12"/>
        <v>1</v>
      </c>
      <c r="O15" s="6" t="str">
        <f t="shared" si="13"/>
        <v>0</v>
      </c>
      <c r="P15" s="6" t="str">
        <f t="shared" si="14"/>
        <v>0</v>
      </c>
      <c r="Q15" s="6" t="str">
        <f t="shared" si="15"/>
        <v>1</v>
      </c>
      <c r="R15" s="6" t="str">
        <f t="shared" si="16"/>
        <v>0</v>
      </c>
      <c r="S15" s="6" t="str">
        <f t="shared" si="0"/>
        <v>0</v>
      </c>
      <c r="T15" s="6" t="str">
        <f t="shared" si="1"/>
        <v>1</v>
      </c>
      <c r="U15" s="6" t="str">
        <f t="shared" si="2"/>
        <v>1</v>
      </c>
      <c r="V15" s="7" t="str">
        <f t="shared" si="3"/>
        <v>0</v>
      </c>
    </row>
    <row r="16" spans="1:22" ht="15.75" thickBot="1" x14ac:dyDescent="0.3">
      <c r="A16" t="s">
        <v>11</v>
      </c>
      <c r="B16" s="2" t="s">
        <v>21</v>
      </c>
      <c r="C16">
        <f t="shared" si="17"/>
        <v>-33164</v>
      </c>
      <c r="E16" t="s">
        <v>33</v>
      </c>
      <c r="F16" t="str">
        <f>_xlfn.BASE(C16+65536,2,16)</f>
        <v>0111111001110100</v>
      </c>
      <c r="G16" s="1" t="str">
        <f t="shared" si="5"/>
        <v>0</v>
      </c>
      <c r="H16" s="1" t="str">
        <f t="shared" si="6"/>
        <v>1</v>
      </c>
      <c r="I16" s="1" t="str">
        <f t="shared" si="7"/>
        <v>1</v>
      </c>
      <c r="J16" s="1" t="str">
        <f t="shared" si="8"/>
        <v>1</v>
      </c>
      <c r="K16" s="1" t="str">
        <f t="shared" si="9"/>
        <v>1</v>
      </c>
      <c r="L16" s="1" t="str">
        <f t="shared" si="10"/>
        <v>1</v>
      </c>
      <c r="M16" s="1" t="str">
        <f t="shared" si="11"/>
        <v>1</v>
      </c>
      <c r="N16" s="1" t="str">
        <f t="shared" si="12"/>
        <v>0</v>
      </c>
      <c r="O16" s="1" t="str">
        <f t="shared" si="13"/>
        <v>0</v>
      </c>
      <c r="P16" s="1" t="str">
        <f t="shared" si="14"/>
        <v>1</v>
      </c>
      <c r="Q16" s="1" t="str">
        <f t="shared" si="15"/>
        <v>1</v>
      </c>
      <c r="R16" s="1" t="str">
        <f t="shared" si="16"/>
        <v>1</v>
      </c>
      <c r="S16" s="1" t="str">
        <f t="shared" si="0"/>
        <v>0</v>
      </c>
      <c r="T16" s="1" t="str">
        <f t="shared" si="1"/>
        <v>1</v>
      </c>
      <c r="U16" s="1" t="str">
        <f t="shared" si="2"/>
        <v>0</v>
      </c>
      <c r="V16" s="1" t="str">
        <f t="shared" si="3"/>
        <v>0</v>
      </c>
    </row>
    <row r="17" spans="1:33" ht="15.75" thickBot="1" x14ac:dyDescent="0.3">
      <c r="A17" t="s">
        <v>12</v>
      </c>
      <c r="B17" s="2" t="s">
        <v>22</v>
      </c>
      <c r="C17">
        <f t="shared" si="17"/>
        <v>-1162</v>
      </c>
      <c r="E17" t="s">
        <v>34</v>
      </c>
      <c r="F17" t="str">
        <f>_xlfn.BASE(C17+65536,2,16)</f>
        <v>1111101101110110</v>
      </c>
      <c r="G17" s="5" t="str">
        <f t="shared" si="5"/>
        <v>1</v>
      </c>
      <c r="H17" s="6" t="str">
        <f t="shared" si="6"/>
        <v>1</v>
      </c>
      <c r="I17" s="6" t="str">
        <f t="shared" si="7"/>
        <v>1</v>
      </c>
      <c r="J17" s="6" t="str">
        <f t="shared" si="8"/>
        <v>1</v>
      </c>
      <c r="K17" s="6" t="str">
        <f t="shared" si="9"/>
        <v>1</v>
      </c>
      <c r="L17" s="6" t="str">
        <f t="shared" si="10"/>
        <v>0</v>
      </c>
      <c r="M17" s="6" t="str">
        <f t="shared" si="11"/>
        <v>1</v>
      </c>
      <c r="N17" s="6" t="str">
        <f t="shared" si="12"/>
        <v>1</v>
      </c>
      <c r="O17" s="6" t="str">
        <f t="shared" si="13"/>
        <v>0</v>
      </c>
      <c r="P17" s="6" t="str">
        <f t="shared" si="14"/>
        <v>1</v>
      </c>
      <c r="Q17" s="6" t="str">
        <f t="shared" si="15"/>
        <v>1</v>
      </c>
      <c r="R17" s="6" t="str">
        <f t="shared" si="16"/>
        <v>1</v>
      </c>
      <c r="S17" s="6" t="str">
        <f t="shared" si="0"/>
        <v>0</v>
      </c>
      <c r="T17" s="6" t="str">
        <f t="shared" si="1"/>
        <v>1</v>
      </c>
      <c r="U17" s="6" t="str">
        <f t="shared" si="2"/>
        <v>1</v>
      </c>
      <c r="V17" s="7" t="str">
        <f t="shared" si="3"/>
        <v>0</v>
      </c>
    </row>
    <row r="18" spans="1:33" x14ac:dyDescent="0.25">
      <c r="A18" t="s">
        <v>13</v>
      </c>
      <c r="B18" s="2" t="s">
        <v>23</v>
      </c>
      <c r="C18">
        <f t="shared" si="17"/>
        <v>-32372</v>
      </c>
      <c r="E18" t="s">
        <v>35</v>
      </c>
      <c r="F18" t="str">
        <f>_xlfn.BASE(C18+65536,2,16)</f>
        <v>1000000110001100</v>
      </c>
      <c r="G18" s="1" t="str">
        <f t="shared" si="5"/>
        <v>1</v>
      </c>
      <c r="H18" s="1" t="str">
        <f t="shared" si="6"/>
        <v>0</v>
      </c>
      <c r="I18" s="1" t="str">
        <f t="shared" si="7"/>
        <v>0</v>
      </c>
      <c r="J18" s="1" t="str">
        <f t="shared" si="8"/>
        <v>0</v>
      </c>
      <c r="K18" s="1" t="str">
        <f t="shared" si="9"/>
        <v>0</v>
      </c>
      <c r="L18" s="1" t="str">
        <f t="shared" si="10"/>
        <v>0</v>
      </c>
      <c r="M18" s="1" t="str">
        <f t="shared" si="11"/>
        <v>0</v>
      </c>
      <c r="N18" s="1" t="str">
        <f t="shared" si="12"/>
        <v>1</v>
      </c>
      <c r="O18" s="1" t="str">
        <f t="shared" si="13"/>
        <v>1</v>
      </c>
      <c r="P18" s="1" t="str">
        <f t="shared" si="14"/>
        <v>0</v>
      </c>
      <c r="Q18" s="1" t="str">
        <f t="shared" si="15"/>
        <v>0</v>
      </c>
      <c r="R18" s="1" t="str">
        <f t="shared" si="16"/>
        <v>0</v>
      </c>
      <c r="S18" s="1" t="str">
        <f t="shared" si="0"/>
        <v>1</v>
      </c>
      <c r="T18" s="1" t="str">
        <f t="shared" si="1"/>
        <v>1</v>
      </c>
      <c r="U18" s="1" t="str">
        <f t="shared" si="2"/>
        <v>0</v>
      </c>
      <c r="V18" s="1" t="str">
        <f t="shared" si="3"/>
        <v>0</v>
      </c>
    </row>
    <row r="20" spans="1:33" x14ac:dyDescent="0.25">
      <c r="E20" t="s">
        <v>36</v>
      </c>
      <c r="F20" t="str">
        <f>F7</f>
        <v>0010100000101000</v>
      </c>
      <c r="G20" s="1" t="str">
        <f>G7</f>
        <v>0</v>
      </c>
      <c r="H20" s="1" t="str">
        <f t="shared" ref="H20:V20" si="18">H7</f>
        <v>0</v>
      </c>
      <c r="I20" s="1" t="str">
        <f t="shared" si="18"/>
        <v>1</v>
      </c>
      <c r="J20" s="1" t="str">
        <f t="shared" si="18"/>
        <v>0</v>
      </c>
      <c r="K20" s="1" t="str">
        <f t="shared" si="18"/>
        <v>1</v>
      </c>
      <c r="L20" s="1" t="str">
        <f t="shared" si="18"/>
        <v>0</v>
      </c>
      <c r="M20" s="1" t="str">
        <f t="shared" si="18"/>
        <v>0</v>
      </c>
      <c r="N20" s="1" t="str">
        <f t="shared" si="18"/>
        <v>0</v>
      </c>
      <c r="O20" s="1" t="str">
        <f t="shared" si="18"/>
        <v>0</v>
      </c>
      <c r="P20" s="1" t="str">
        <f t="shared" si="18"/>
        <v>0</v>
      </c>
      <c r="Q20" s="1" t="str">
        <f t="shared" si="18"/>
        <v>1</v>
      </c>
      <c r="R20" s="1" t="str">
        <f t="shared" si="18"/>
        <v>0</v>
      </c>
      <c r="S20" s="1" t="str">
        <f t="shared" si="18"/>
        <v>1</v>
      </c>
      <c r="T20" s="1" t="str">
        <f t="shared" si="18"/>
        <v>0</v>
      </c>
      <c r="U20" s="1" t="str">
        <f t="shared" si="18"/>
        <v>0</v>
      </c>
      <c r="V20" s="1" t="str">
        <f t="shared" si="18"/>
        <v>0</v>
      </c>
      <c r="X20" s="1">
        <f>C7</f>
        <v>10280</v>
      </c>
      <c r="Z20">
        <f>X20</f>
        <v>10280</v>
      </c>
    </row>
    <row r="21" spans="1:33" ht="15.75" thickBot="1" x14ac:dyDescent="0.3">
      <c r="E21" s="3" t="s">
        <v>37</v>
      </c>
      <c r="F21" s="3" t="str">
        <f>F8</f>
        <v>0010110010110010</v>
      </c>
      <c r="G21" s="4" t="str">
        <f>G8</f>
        <v>0</v>
      </c>
      <c r="H21" s="4" t="str">
        <f t="shared" ref="H21:V21" si="19">H8</f>
        <v>0</v>
      </c>
      <c r="I21" s="4" t="str">
        <f t="shared" si="19"/>
        <v>1</v>
      </c>
      <c r="J21" s="4" t="str">
        <f t="shared" si="19"/>
        <v>0</v>
      </c>
      <c r="K21" s="4" t="str">
        <f t="shared" si="19"/>
        <v>1</v>
      </c>
      <c r="L21" s="4" t="str">
        <f t="shared" si="19"/>
        <v>1</v>
      </c>
      <c r="M21" s="4" t="str">
        <f t="shared" si="19"/>
        <v>0</v>
      </c>
      <c r="N21" s="4" t="str">
        <f t="shared" si="19"/>
        <v>0</v>
      </c>
      <c r="O21" s="4" t="str">
        <f t="shared" si="19"/>
        <v>1</v>
      </c>
      <c r="P21" s="4" t="str">
        <f t="shared" si="19"/>
        <v>0</v>
      </c>
      <c r="Q21" s="4" t="str">
        <f t="shared" si="19"/>
        <v>1</v>
      </c>
      <c r="R21" s="4" t="str">
        <f t="shared" si="19"/>
        <v>1</v>
      </c>
      <c r="S21" s="4" t="str">
        <f t="shared" si="19"/>
        <v>0</v>
      </c>
      <c r="T21" s="4" t="str">
        <f t="shared" si="19"/>
        <v>0</v>
      </c>
      <c r="U21" s="4" t="str">
        <f t="shared" si="19"/>
        <v>1</v>
      </c>
      <c r="V21" s="4" t="str">
        <f t="shared" si="19"/>
        <v>0</v>
      </c>
      <c r="X21" s="8">
        <f>C8</f>
        <v>11442</v>
      </c>
      <c r="Z21" s="3">
        <f>X21</f>
        <v>11442</v>
      </c>
      <c r="AB21" t="s">
        <v>47</v>
      </c>
      <c r="AC21" t="s">
        <v>56</v>
      </c>
      <c r="AD21" t="s">
        <v>49</v>
      </c>
      <c r="AE21" t="s">
        <v>50</v>
      </c>
      <c r="AF21" t="s">
        <v>51</v>
      </c>
      <c r="AG21" t="s">
        <v>52</v>
      </c>
    </row>
    <row r="22" spans="1:33" x14ac:dyDescent="0.25">
      <c r="E22" t="s">
        <v>38</v>
      </c>
      <c r="F22" t="str">
        <f>_xlfn.BASE(C7+C8,2,16)</f>
        <v>0101010011011010</v>
      </c>
      <c r="G22" s="1" t="str">
        <f>MID($F22,1,1)</f>
        <v>0</v>
      </c>
      <c r="H22" s="1" t="str">
        <f>MID($F22,2,1)</f>
        <v>1</v>
      </c>
      <c r="I22" s="1" t="str">
        <f>MID($F22,3,1)</f>
        <v>0</v>
      </c>
      <c r="J22" s="1" t="str">
        <f>MID($F22,4,1)</f>
        <v>1</v>
      </c>
      <c r="K22" s="1" t="str">
        <f>MID($F22,5,1)</f>
        <v>0</v>
      </c>
      <c r="L22" s="1" t="str">
        <f>MID($F22,6,1)</f>
        <v>1</v>
      </c>
      <c r="M22" s="1" t="str">
        <f>MID($F22,7,1)</f>
        <v>0</v>
      </c>
      <c r="N22" s="1" t="str">
        <f>MID($F22,8,1)</f>
        <v>0</v>
      </c>
      <c r="O22" s="1" t="str">
        <f>MID($F22,9,1)</f>
        <v>1</v>
      </c>
      <c r="P22" s="1" t="str">
        <f>MID($F22,10,1)</f>
        <v>1</v>
      </c>
      <c r="Q22" s="1" t="str">
        <f>MID($F22,11,1)</f>
        <v>0</v>
      </c>
      <c r="R22" s="1" t="str">
        <f>MID($F22,12,1)</f>
        <v>1</v>
      </c>
      <c r="S22" s="1" t="str">
        <f>MID($F22,13,1)</f>
        <v>1</v>
      </c>
      <c r="T22" s="1" t="str">
        <f>MID($F22,14,1)</f>
        <v>0</v>
      </c>
      <c r="U22" s="1" t="str">
        <f>MID($F22,15,1)</f>
        <v>1</v>
      </c>
      <c r="V22" s="1" t="str">
        <f>MID($F22,16,1)</f>
        <v>0</v>
      </c>
      <c r="X22">
        <f>IF(LEFT(F22,1)="1",-1*(BIN2DEC(LEFT(F22,1))*32768) +BIN2DEC(MID(F22,2,7))*256 + BIN2DEC(RIGHT(F22,8)),BIN2DEC(LEFT(F22,8))*256 + BIN2DEC(RIGHT(F22,8)))</f>
        <v>21722</v>
      </c>
      <c r="Z22">
        <f>Z20+Z21</f>
        <v>21722</v>
      </c>
    </row>
    <row r="26" spans="1:33" x14ac:dyDescent="0.25">
      <c r="E26" t="s">
        <v>37</v>
      </c>
      <c r="F26" t="str">
        <f>F21</f>
        <v>0010110010110010</v>
      </c>
      <c r="G26" s="1" t="str">
        <f>G8</f>
        <v>0</v>
      </c>
      <c r="H26" s="1" t="str">
        <f t="shared" ref="H26:V26" si="20">H8</f>
        <v>0</v>
      </c>
      <c r="I26" s="1" t="str">
        <f t="shared" si="20"/>
        <v>1</v>
      </c>
      <c r="J26" s="1" t="str">
        <f t="shared" si="20"/>
        <v>0</v>
      </c>
      <c r="K26" s="1" t="str">
        <f t="shared" si="20"/>
        <v>1</v>
      </c>
      <c r="L26" s="1" t="str">
        <f t="shared" si="20"/>
        <v>1</v>
      </c>
      <c r="M26" s="1" t="str">
        <f t="shared" si="20"/>
        <v>0</v>
      </c>
      <c r="N26" s="1" t="str">
        <f t="shared" si="20"/>
        <v>0</v>
      </c>
      <c r="O26" s="1" t="str">
        <f t="shared" si="20"/>
        <v>1</v>
      </c>
      <c r="P26" s="1" t="str">
        <f t="shared" si="20"/>
        <v>0</v>
      </c>
      <c r="Q26" s="1" t="str">
        <f t="shared" si="20"/>
        <v>1</v>
      </c>
      <c r="R26" s="1" t="str">
        <f t="shared" si="20"/>
        <v>1</v>
      </c>
      <c r="S26" s="1" t="str">
        <f t="shared" si="20"/>
        <v>0</v>
      </c>
      <c r="T26" s="1" t="str">
        <f t="shared" si="20"/>
        <v>0</v>
      </c>
      <c r="U26" s="1" t="str">
        <f t="shared" si="20"/>
        <v>1</v>
      </c>
      <c r="V26" s="1" t="str">
        <f t="shared" si="20"/>
        <v>0</v>
      </c>
      <c r="X26" s="1">
        <f>C8</f>
        <v>11442</v>
      </c>
      <c r="Z26">
        <f>X26</f>
        <v>11442</v>
      </c>
    </row>
    <row r="27" spans="1:33" ht="15.75" thickBot="1" x14ac:dyDescent="0.3">
      <c r="E27" s="3" t="s">
        <v>39</v>
      </c>
      <c r="F27" s="3" t="str">
        <f>F9</f>
        <v>0101010011011010</v>
      </c>
      <c r="G27" s="4" t="str">
        <f>G9</f>
        <v>0</v>
      </c>
      <c r="H27" s="4" t="str">
        <f t="shared" ref="H27:U27" si="21">H9</f>
        <v>1</v>
      </c>
      <c r="I27" s="4" t="str">
        <f t="shared" si="21"/>
        <v>0</v>
      </c>
      <c r="J27" s="4" t="str">
        <f t="shared" si="21"/>
        <v>1</v>
      </c>
      <c r="K27" s="4" t="str">
        <f t="shared" si="21"/>
        <v>0</v>
      </c>
      <c r="L27" s="4" t="str">
        <f t="shared" si="21"/>
        <v>1</v>
      </c>
      <c r="M27" s="4" t="str">
        <f t="shared" si="21"/>
        <v>0</v>
      </c>
      <c r="N27" s="4" t="str">
        <f t="shared" si="21"/>
        <v>0</v>
      </c>
      <c r="O27" s="4" t="str">
        <f t="shared" si="21"/>
        <v>1</v>
      </c>
      <c r="P27" s="4" t="str">
        <f t="shared" si="21"/>
        <v>1</v>
      </c>
      <c r="Q27" s="4" t="str">
        <f t="shared" si="21"/>
        <v>0</v>
      </c>
      <c r="R27" s="4" t="str">
        <f t="shared" si="21"/>
        <v>1</v>
      </c>
      <c r="S27" s="4" t="str">
        <f t="shared" si="21"/>
        <v>1</v>
      </c>
      <c r="T27" s="4" t="str">
        <f t="shared" si="21"/>
        <v>0</v>
      </c>
      <c r="U27" s="4" t="str">
        <f t="shared" si="21"/>
        <v>1</v>
      </c>
      <c r="V27" s="4" t="str">
        <f>V9</f>
        <v>0</v>
      </c>
      <c r="X27" s="8">
        <f>C9</f>
        <v>21722</v>
      </c>
      <c r="Z27" s="3">
        <f>X27</f>
        <v>21722</v>
      </c>
      <c r="AB27" t="s">
        <v>47</v>
      </c>
      <c r="AC27" t="s">
        <v>56</v>
      </c>
      <c r="AD27" t="s">
        <v>49</v>
      </c>
      <c r="AE27" t="s">
        <v>50</v>
      </c>
      <c r="AF27" t="s">
        <v>53</v>
      </c>
      <c r="AG27" t="s">
        <v>54</v>
      </c>
    </row>
    <row r="28" spans="1:33" x14ac:dyDescent="0.25">
      <c r="E28" t="s">
        <v>40</v>
      </c>
      <c r="F28" t="str">
        <f>_xlfn.BASE(C9+C8,2,16)</f>
        <v>1000000110001100</v>
      </c>
      <c r="G28" s="1" t="str">
        <f>MID($F28,1,1)</f>
        <v>1</v>
      </c>
      <c r="H28" s="1" t="str">
        <f>MID($F28,2,1)</f>
        <v>0</v>
      </c>
      <c r="I28" s="1" t="str">
        <f>MID($F28,3,1)</f>
        <v>0</v>
      </c>
      <c r="J28" s="1" t="str">
        <f>MID($F28,4,1)</f>
        <v>0</v>
      </c>
      <c r="K28" s="1" t="str">
        <f>MID($F28,5,1)</f>
        <v>0</v>
      </c>
      <c r="L28" s="1" t="str">
        <f>MID($F28,6,1)</f>
        <v>0</v>
      </c>
      <c r="M28" s="1" t="str">
        <f>MID($F28,7,1)</f>
        <v>0</v>
      </c>
      <c r="N28" s="1" t="str">
        <f>MID($F28,8,1)</f>
        <v>1</v>
      </c>
      <c r="O28" s="1" t="str">
        <f>MID($F28,9,1)</f>
        <v>1</v>
      </c>
      <c r="P28" s="1" t="str">
        <f>MID($F28,10,1)</f>
        <v>0</v>
      </c>
      <c r="Q28" s="1" t="str">
        <f>MID($F28,11,1)</f>
        <v>0</v>
      </c>
      <c r="R28" s="1" t="str">
        <f>MID($F28,12,1)</f>
        <v>0</v>
      </c>
      <c r="S28" s="1" t="str">
        <f>MID($F28,13,1)</f>
        <v>1</v>
      </c>
      <c r="T28" s="1" t="str">
        <f>MID($F28,14,1)</f>
        <v>1</v>
      </c>
      <c r="U28" s="1" t="str">
        <f>MID($F28,15,1)</f>
        <v>0</v>
      </c>
      <c r="V28" s="1" t="str">
        <f>MID($F28,16,1)</f>
        <v>0</v>
      </c>
      <c r="X28">
        <f>IF(LEFT(F28,1)="1",-1*(BIN2DEC(LEFT(F28,1))*32768) +BIN2DEC(MID(F28,2,7))*256 + BIN2DEC(RIGHT(F28,8)),BIN2DEC(LEFT(F28,8))*256 + BIN2DEC(RIGHT(F28,8)))</f>
        <v>-32372</v>
      </c>
      <c r="Z28">
        <f>Z26+Z27</f>
        <v>33164</v>
      </c>
    </row>
    <row r="29" spans="1:33" x14ac:dyDescent="0.25">
      <c r="F29" s="9"/>
      <c r="AA29">
        <f>IF(LEFT(F28,1)="1",-1*(BIN2DEC(LEFT(F28,1))*32768) +BIN2DEC(MID(F28,2,7))*256 + BIN2DEC(RIGHT(F28,8)),BIN2DEC(LEFT(F28,8))*256 + BIN2DEC(RIGHT(F28,8)))</f>
        <v>-32372</v>
      </c>
    </row>
    <row r="32" spans="1:33" x14ac:dyDescent="0.25">
      <c r="E32" t="s">
        <v>37</v>
      </c>
      <c r="F32" t="str">
        <f>F26</f>
        <v>0010110010110010</v>
      </c>
      <c r="G32" s="1" t="str">
        <f>G26</f>
        <v>0</v>
      </c>
      <c r="H32" s="1" t="str">
        <f t="shared" ref="H32:V32" si="22">H26</f>
        <v>0</v>
      </c>
      <c r="I32" s="1" t="str">
        <f t="shared" si="22"/>
        <v>1</v>
      </c>
      <c r="J32" s="1" t="str">
        <f t="shared" si="22"/>
        <v>0</v>
      </c>
      <c r="K32" s="1" t="str">
        <f t="shared" si="22"/>
        <v>1</v>
      </c>
      <c r="L32" s="1" t="str">
        <f t="shared" si="22"/>
        <v>1</v>
      </c>
      <c r="M32" s="1" t="str">
        <f t="shared" si="22"/>
        <v>0</v>
      </c>
      <c r="N32" s="1" t="str">
        <f t="shared" si="22"/>
        <v>0</v>
      </c>
      <c r="O32" s="1" t="str">
        <f t="shared" si="22"/>
        <v>1</v>
      </c>
      <c r="P32" s="1" t="str">
        <f t="shared" si="22"/>
        <v>0</v>
      </c>
      <c r="Q32" s="1" t="str">
        <f t="shared" si="22"/>
        <v>1</v>
      </c>
      <c r="R32" s="1" t="str">
        <f t="shared" si="22"/>
        <v>1</v>
      </c>
      <c r="S32" s="1" t="str">
        <f t="shared" si="22"/>
        <v>0</v>
      </c>
      <c r="T32" s="1" t="str">
        <f t="shared" si="22"/>
        <v>0</v>
      </c>
      <c r="U32" s="1" t="str">
        <f t="shared" si="22"/>
        <v>1</v>
      </c>
      <c r="V32" s="1" t="str">
        <f t="shared" si="22"/>
        <v>0</v>
      </c>
      <c r="X32" s="1">
        <f>X26</f>
        <v>11442</v>
      </c>
      <c r="Z32">
        <f>X32</f>
        <v>11442</v>
      </c>
    </row>
    <row r="33" spans="5:33" ht="15.75" thickBot="1" x14ac:dyDescent="0.3">
      <c r="E33" s="3" t="s">
        <v>41</v>
      </c>
      <c r="F33" s="3" t="str">
        <f>F13</f>
        <v>1101011111011000</v>
      </c>
      <c r="G33" s="4" t="str">
        <f>G13</f>
        <v>1</v>
      </c>
      <c r="H33" s="4" t="str">
        <f t="shared" ref="H33:V33" si="23">H13</f>
        <v>1</v>
      </c>
      <c r="I33" s="4" t="str">
        <f t="shared" si="23"/>
        <v>0</v>
      </c>
      <c r="J33" s="4" t="str">
        <f t="shared" si="23"/>
        <v>1</v>
      </c>
      <c r="K33" s="4" t="str">
        <f t="shared" si="23"/>
        <v>0</v>
      </c>
      <c r="L33" s="4" t="str">
        <f t="shared" si="23"/>
        <v>1</v>
      </c>
      <c r="M33" s="4" t="str">
        <f t="shared" si="23"/>
        <v>1</v>
      </c>
      <c r="N33" s="4" t="str">
        <f t="shared" si="23"/>
        <v>1</v>
      </c>
      <c r="O33" s="4" t="str">
        <f t="shared" si="23"/>
        <v>1</v>
      </c>
      <c r="P33" s="4" t="str">
        <f t="shared" si="23"/>
        <v>1</v>
      </c>
      <c r="Q33" s="4" t="str">
        <f t="shared" si="23"/>
        <v>0</v>
      </c>
      <c r="R33" s="4" t="str">
        <f t="shared" si="23"/>
        <v>1</v>
      </c>
      <c r="S33" s="4" t="str">
        <f t="shared" si="23"/>
        <v>1</v>
      </c>
      <c r="T33" s="4" t="str">
        <f t="shared" si="23"/>
        <v>0</v>
      </c>
      <c r="U33" s="4" t="str">
        <f t="shared" si="23"/>
        <v>0</v>
      </c>
      <c r="V33" s="4" t="str">
        <f t="shared" si="23"/>
        <v>0</v>
      </c>
      <c r="X33" s="8">
        <f>C13</f>
        <v>-10280</v>
      </c>
      <c r="Z33" s="3">
        <f>X33</f>
        <v>-10280</v>
      </c>
      <c r="AB33" t="s">
        <v>55</v>
      </c>
      <c r="AC33" t="s">
        <v>56</v>
      </c>
      <c r="AD33" t="s">
        <v>49</v>
      </c>
      <c r="AE33" t="s">
        <v>50</v>
      </c>
      <c r="AF33" t="s">
        <v>51</v>
      </c>
      <c r="AG33" t="s">
        <v>52</v>
      </c>
    </row>
    <row r="34" spans="5:33" x14ac:dyDescent="0.25">
      <c r="E34" t="s">
        <v>40</v>
      </c>
      <c r="F34" t="str">
        <f>_xlfn.BASE(C13+C8,2,16)</f>
        <v>0000010010001010</v>
      </c>
      <c r="G34" s="1" t="str">
        <f>MID($F34,1,1)</f>
        <v>0</v>
      </c>
      <c r="H34" s="1" t="str">
        <f>MID($F34,2,1)</f>
        <v>0</v>
      </c>
      <c r="I34" s="1" t="str">
        <f>MID($F34,3,1)</f>
        <v>0</v>
      </c>
      <c r="J34" s="1" t="str">
        <f>MID($F34,4,1)</f>
        <v>0</v>
      </c>
      <c r="K34" s="1" t="str">
        <f>MID($F34,5,1)</f>
        <v>0</v>
      </c>
      <c r="L34" s="1" t="str">
        <f>MID($F34,6,1)</f>
        <v>1</v>
      </c>
      <c r="M34" s="1" t="str">
        <f>MID($F34,7,1)</f>
        <v>0</v>
      </c>
      <c r="N34" s="1" t="str">
        <f>MID($F34,8,1)</f>
        <v>0</v>
      </c>
      <c r="O34" s="1" t="str">
        <f>MID($F34,9,1)</f>
        <v>1</v>
      </c>
      <c r="P34" s="1" t="str">
        <f>MID($F34,10,1)</f>
        <v>0</v>
      </c>
      <c r="Q34" s="1" t="str">
        <f>MID($F34,11,1)</f>
        <v>0</v>
      </c>
      <c r="R34" s="1" t="str">
        <f>MID($F34,12,1)</f>
        <v>0</v>
      </c>
      <c r="S34" s="1" t="str">
        <f>MID($F34,13,1)</f>
        <v>1</v>
      </c>
      <c r="T34" s="1" t="str">
        <f>MID($F34,14,1)</f>
        <v>0</v>
      </c>
      <c r="U34" s="1" t="str">
        <f>MID($F34,15,1)</f>
        <v>1</v>
      </c>
      <c r="V34" s="1" t="str">
        <f>MID($F34,16,1)</f>
        <v>0</v>
      </c>
      <c r="X34">
        <f>IF(LEFT(F34,1)="1",-1*(BIN2DEC(LEFT(F34,1))*32768) +BIN2DEC(MID(F34,2,7))*256 + BIN2DEC(RIGHT(F34,8)),BIN2DEC(LEFT(F34,8))*256 + BIN2DEC(RIGHT(F34,8)))</f>
        <v>1162</v>
      </c>
      <c r="Z34">
        <f>Z32+Z33</f>
        <v>1162</v>
      </c>
    </row>
    <row r="38" spans="5:33" x14ac:dyDescent="0.25">
      <c r="E38" t="s">
        <v>41</v>
      </c>
      <c r="F38" t="str">
        <f>F13</f>
        <v>1101011111011000</v>
      </c>
      <c r="G38" t="str">
        <f>G13</f>
        <v>1</v>
      </c>
      <c r="H38" t="str">
        <f t="shared" ref="H38:V38" si="24">H13</f>
        <v>1</v>
      </c>
      <c r="I38" t="str">
        <f t="shared" si="24"/>
        <v>0</v>
      </c>
      <c r="J38" t="str">
        <f t="shared" si="24"/>
        <v>1</v>
      </c>
      <c r="K38" t="str">
        <f t="shared" si="24"/>
        <v>0</v>
      </c>
      <c r="L38" t="str">
        <f t="shared" si="24"/>
        <v>1</v>
      </c>
      <c r="M38" t="str">
        <f t="shared" si="24"/>
        <v>1</v>
      </c>
      <c r="N38" t="str">
        <f t="shared" si="24"/>
        <v>1</v>
      </c>
      <c r="O38" t="str">
        <f t="shared" si="24"/>
        <v>1</v>
      </c>
      <c r="P38" t="str">
        <f t="shared" si="24"/>
        <v>1</v>
      </c>
      <c r="Q38" t="str">
        <f t="shared" si="24"/>
        <v>0</v>
      </c>
      <c r="R38" t="str">
        <f t="shared" si="24"/>
        <v>1</v>
      </c>
      <c r="S38" t="str">
        <f t="shared" si="24"/>
        <v>1</v>
      </c>
      <c r="T38" t="str">
        <f t="shared" si="24"/>
        <v>0</v>
      </c>
      <c r="U38" t="str">
        <f t="shared" si="24"/>
        <v>0</v>
      </c>
      <c r="V38" t="str">
        <f t="shared" si="24"/>
        <v>0</v>
      </c>
      <c r="X38">
        <f>X33</f>
        <v>-10280</v>
      </c>
      <c r="Z38">
        <f>X38</f>
        <v>-10280</v>
      </c>
    </row>
    <row r="39" spans="5:33" ht="15.75" thickBot="1" x14ac:dyDescent="0.3">
      <c r="E39" s="3" t="s">
        <v>42</v>
      </c>
      <c r="F39" s="3" t="str">
        <f>F14</f>
        <v>1101001101001110</v>
      </c>
      <c r="G39" s="3" t="str">
        <f>G14</f>
        <v>1</v>
      </c>
      <c r="H39" s="3" t="str">
        <f t="shared" ref="H39:V39" si="25">H14</f>
        <v>1</v>
      </c>
      <c r="I39" s="3" t="str">
        <f t="shared" si="25"/>
        <v>0</v>
      </c>
      <c r="J39" s="3" t="str">
        <f t="shared" si="25"/>
        <v>1</v>
      </c>
      <c r="K39" s="3" t="str">
        <f t="shared" si="25"/>
        <v>0</v>
      </c>
      <c r="L39" s="3" t="str">
        <f t="shared" si="25"/>
        <v>0</v>
      </c>
      <c r="M39" s="3" t="str">
        <f t="shared" si="25"/>
        <v>1</v>
      </c>
      <c r="N39" s="3" t="str">
        <f t="shared" si="25"/>
        <v>1</v>
      </c>
      <c r="O39" s="3" t="str">
        <f t="shared" si="25"/>
        <v>0</v>
      </c>
      <c r="P39" s="3" t="str">
        <f t="shared" si="25"/>
        <v>1</v>
      </c>
      <c r="Q39" s="3" t="str">
        <f t="shared" si="25"/>
        <v>0</v>
      </c>
      <c r="R39" s="3" t="str">
        <f t="shared" si="25"/>
        <v>0</v>
      </c>
      <c r="S39" s="3" t="str">
        <f t="shared" si="25"/>
        <v>1</v>
      </c>
      <c r="T39" s="3" t="str">
        <f t="shared" si="25"/>
        <v>1</v>
      </c>
      <c r="U39" s="3" t="str">
        <f t="shared" si="25"/>
        <v>1</v>
      </c>
      <c r="V39" s="3" t="str">
        <f t="shared" si="25"/>
        <v>0</v>
      </c>
      <c r="X39" s="3">
        <f>C14</f>
        <v>-11442</v>
      </c>
      <c r="Z39" s="3">
        <f>X39</f>
        <v>-11442</v>
      </c>
      <c r="AB39" t="s">
        <v>55</v>
      </c>
      <c r="AC39" t="s">
        <v>56</v>
      </c>
      <c r="AD39" t="s">
        <v>49</v>
      </c>
      <c r="AE39" t="s">
        <v>50</v>
      </c>
      <c r="AF39" t="s">
        <v>46</v>
      </c>
      <c r="AG39" t="s">
        <v>54</v>
      </c>
    </row>
    <row r="40" spans="5:33" x14ac:dyDescent="0.25">
      <c r="E40" t="s">
        <v>40</v>
      </c>
      <c r="F40" t="str">
        <f>RIGHT(_xlfn.BASE(65536-(C13+C14),2,16),16)</f>
        <v>0101010011011010</v>
      </c>
      <c r="G40" t="str">
        <f>MID($F40,1,1)</f>
        <v>0</v>
      </c>
      <c r="H40" t="str">
        <f>MID($F40,2,1)</f>
        <v>1</v>
      </c>
      <c r="I40" t="str">
        <f>MID($F40,3,1)</f>
        <v>0</v>
      </c>
      <c r="J40" t="str">
        <f>MID($F40,4,1)</f>
        <v>1</v>
      </c>
      <c r="K40" t="str">
        <f>MID($F40,5,1)</f>
        <v>0</v>
      </c>
      <c r="L40" t="str">
        <f>MID($F40,6,1)</f>
        <v>1</v>
      </c>
      <c r="M40" t="str">
        <f>MID($F40,7,1)</f>
        <v>0</v>
      </c>
      <c r="N40" t="str">
        <f>MID($F40,8,1)</f>
        <v>0</v>
      </c>
      <c r="O40" t="str">
        <f>MID($F40,9,1)</f>
        <v>1</v>
      </c>
      <c r="P40" t="str">
        <f>MID($F40,10,1)</f>
        <v>1</v>
      </c>
      <c r="Q40" t="str">
        <f>MID($F40,11,1)</f>
        <v>0</v>
      </c>
      <c r="R40" t="str">
        <f>MID($F40,12,1)</f>
        <v>1</v>
      </c>
      <c r="S40" t="str">
        <f>MID($F40,13,1)</f>
        <v>1</v>
      </c>
      <c r="T40" t="str">
        <f>MID($F40,14,1)</f>
        <v>0</v>
      </c>
      <c r="U40" t="str">
        <f>MID($F40,15,1)</f>
        <v>1</v>
      </c>
      <c r="V40" t="str">
        <f>MID($F40,16,1)</f>
        <v>0</v>
      </c>
      <c r="X40">
        <f>IF(LEFT(F40,1)="1",-1*(BIN2DEC(LEFT(F40,1))*32768) +BIN2DEC(MID(F40,2,7))*256 + BIN2DEC(RIGHT(F40,8)),BIN2DEC(LEFT(F40,8))*256 + BIN2DEC(RIGHT(F40,8)))</f>
        <v>21722</v>
      </c>
      <c r="Z40">
        <f>Z38+Z39</f>
        <v>-21722</v>
      </c>
    </row>
    <row r="44" spans="5:33" x14ac:dyDescent="0.25">
      <c r="E44" t="s">
        <v>42</v>
      </c>
      <c r="F44" t="str">
        <f>F14</f>
        <v>1101001101001110</v>
      </c>
      <c r="G44" t="str">
        <f>G14</f>
        <v>1</v>
      </c>
      <c r="H44" t="str">
        <f t="shared" ref="H44:V44" si="26">H14</f>
        <v>1</v>
      </c>
      <c r="I44" t="str">
        <f t="shared" si="26"/>
        <v>0</v>
      </c>
      <c r="J44" t="str">
        <f t="shared" si="26"/>
        <v>1</v>
      </c>
      <c r="K44" t="str">
        <f t="shared" si="26"/>
        <v>0</v>
      </c>
      <c r="L44" t="str">
        <f t="shared" si="26"/>
        <v>0</v>
      </c>
      <c r="M44" t="str">
        <f t="shared" si="26"/>
        <v>1</v>
      </c>
      <c r="N44" t="str">
        <f t="shared" si="26"/>
        <v>1</v>
      </c>
      <c r="O44" t="str">
        <f t="shared" si="26"/>
        <v>0</v>
      </c>
      <c r="P44" t="str">
        <f t="shared" si="26"/>
        <v>1</v>
      </c>
      <c r="Q44" t="str">
        <f t="shared" si="26"/>
        <v>0</v>
      </c>
      <c r="R44" t="str">
        <f t="shared" si="26"/>
        <v>0</v>
      </c>
      <c r="S44" t="str">
        <f t="shared" si="26"/>
        <v>1</v>
      </c>
      <c r="T44" t="str">
        <f t="shared" si="26"/>
        <v>1</v>
      </c>
      <c r="U44" t="str">
        <f t="shared" si="26"/>
        <v>1</v>
      </c>
      <c r="V44" t="str">
        <f t="shared" si="26"/>
        <v>0</v>
      </c>
      <c r="X44">
        <f>X39</f>
        <v>-11442</v>
      </c>
      <c r="Z44">
        <f>X44</f>
        <v>-11442</v>
      </c>
    </row>
    <row r="45" spans="5:33" ht="15.75" thickBot="1" x14ac:dyDescent="0.3">
      <c r="E45" s="3" t="s">
        <v>43</v>
      </c>
      <c r="F45" s="3" t="str">
        <f>F15</f>
        <v>1010101100100110</v>
      </c>
      <c r="G45" s="3" t="str">
        <f>G15</f>
        <v>1</v>
      </c>
      <c r="H45" s="3" t="str">
        <f t="shared" ref="H45:V45" si="27">H15</f>
        <v>0</v>
      </c>
      <c r="I45" s="3" t="str">
        <f t="shared" si="27"/>
        <v>1</v>
      </c>
      <c r="J45" s="3" t="str">
        <f t="shared" si="27"/>
        <v>0</v>
      </c>
      <c r="K45" s="3" t="str">
        <f t="shared" si="27"/>
        <v>1</v>
      </c>
      <c r="L45" s="3" t="str">
        <f t="shared" si="27"/>
        <v>0</v>
      </c>
      <c r="M45" s="3" t="str">
        <f t="shared" si="27"/>
        <v>1</v>
      </c>
      <c r="N45" s="3" t="str">
        <f t="shared" si="27"/>
        <v>1</v>
      </c>
      <c r="O45" s="3" t="str">
        <f t="shared" si="27"/>
        <v>0</v>
      </c>
      <c r="P45" s="3" t="str">
        <f t="shared" si="27"/>
        <v>0</v>
      </c>
      <c r="Q45" s="3" t="str">
        <f t="shared" si="27"/>
        <v>1</v>
      </c>
      <c r="R45" s="3" t="str">
        <f t="shared" si="27"/>
        <v>0</v>
      </c>
      <c r="S45" s="3" t="str">
        <f t="shared" si="27"/>
        <v>0</v>
      </c>
      <c r="T45" s="3" t="str">
        <f t="shared" si="27"/>
        <v>1</v>
      </c>
      <c r="U45" s="3" t="str">
        <f t="shared" si="27"/>
        <v>1</v>
      </c>
      <c r="V45" s="3" t="str">
        <f t="shared" si="27"/>
        <v>0</v>
      </c>
      <c r="X45" s="3">
        <f>C15</f>
        <v>-21722</v>
      </c>
      <c r="Z45" s="3">
        <f>X45</f>
        <v>-21722</v>
      </c>
      <c r="AB45" t="s">
        <v>55</v>
      </c>
      <c r="AC45" t="s">
        <v>56</v>
      </c>
      <c r="AD45" t="s">
        <v>57</v>
      </c>
      <c r="AE45" t="s">
        <v>50</v>
      </c>
      <c r="AF45" t="s">
        <v>53</v>
      </c>
      <c r="AG45" t="s">
        <v>54</v>
      </c>
    </row>
    <row r="46" spans="5:33" x14ac:dyDescent="0.25">
      <c r="E46" t="s">
        <v>40</v>
      </c>
      <c r="F46" t="str">
        <f>RIGHT(_xlfn.BASE(65536-(C15+C14),2,16),16)</f>
        <v>1000000110001100</v>
      </c>
      <c r="G46" t="str">
        <f>MID($F46,1,1)</f>
        <v>1</v>
      </c>
      <c r="H46" t="str">
        <f>MID($F46,2,1)</f>
        <v>0</v>
      </c>
      <c r="I46" t="str">
        <f>MID($F46,3,1)</f>
        <v>0</v>
      </c>
      <c r="J46" t="str">
        <f>MID($F46,4,1)</f>
        <v>0</v>
      </c>
      <c r="K46" t="str">
        <f>MID($F46,5,1)</f>
        <v>0</v>
      </c>
      <c r="L46" t="str">
        <f>MID($F46,6,1)</f>
        <v>0</v>
      </c>
      <c r="M46" t="str">
        <f>MID($F46,7,1)</f>
        <v>0</v>
      </c>
      <c r="N46" t="str">
        <f>MID($F46,8,1)</f>
        <v>1</v>
      </c>
      <c r="O46" t="str">
        <f>MID($F46,9,1)</f>
        <v>1</v>
      </c>
      <c r="P46" t="str">
        <f>MID($F46,10,1)</f>
        <v>0</v>
      </c>
      <c r="Q46" t="str">
        <f>MID($F46,11,1)</f>
        <v>0</v>
      </c>
      <c r="R46" t="str">
        <f>MID($F46,12,1)</f>
        <v>0</v>
      </c>
      <c r="S46" t="str">
        <f>MID($F46,13,1)</f>
        <v>1</v>
      </c>
      <c r="T46" t="str">
        <f>MID($F46,14,1)</f>
        <v>1</v>
      </c>
      <c r="U46" t="str">
        <f>MID($F46,15,1)</f>
        <v>0</v>
      </c>
      <c r="V46" t="str">
        <f>MID($F46,16,1)</f>
        <v>0</v>
      </c>
      <c r="X46">
        <f>IF(LEFT(F46,1)="1",-1*(BIN2DEC(LEFT(F46,1))*32768) +BIN2DEC(MID(F46,2,7))*256 + BIN2DEC(RIGHT(F46,8)),BIN2DEC(LEFT(F46,8))*256 + BIN2DEC(RIGHT(F46,8)))</f>
        <v>-32372</v>
      </c>
      <c r="Z46">
        <f>Z44+Z45</f>
        <v>-33164</v>
      </c>
    </row>
    <row r="50" spans="5:33" x14ac:dyDescent="0.25">
      <c r="E50" t="s">
        <v>44</v>
      </c>
      <c r="F50" t="str">
        <f>F7</f>
        <v>0010100000101000</v>
      </c>
      <c r="G50" t="str">
        <f>G7</f>
        <v>0</v>
      </c>
      <c r="H50" t="str">
        <f t="shared" ref="H50:V50" si="28">H7</f>
        <v>0</v>
      </c>
      <c r="I50" t="str">
        <f t="shared" si="28"/>
        <v>1</v>
      </c>
      <c r="J50" t="str">
        <f t="shared" si="28"/>
        <v>0</v>
      </c>
      <c r="K50" t="str">
        <f t="shared" si="28"/>
        <v>1</v>
      </c>
      <c r="L50" t="str">
        <f t="shared" si="28"/>
        <v>0</v>
      </c>
      <c r="M50" t="str">
        <f t="shared" si="28"/>
        <v>0</v>
      </c>
      <c r="N50" t="str">
        <f t="shared" si="28"/>
        <v>0</v>
      </c>
      <c r="O50" t="str">
        <f t="shared" si="28"/>
        <v>0</v>
      </c>
      <c r="P50" t="str">
        <f t="shared" si="28"/>
        <v>0</v>
      </c>
      <c r="Q50" t="str">
        <f t="shared" si="28"/>
        <v>1</v>
      </c>
      <c r="R50" t="str">
        <f t="shared" si="28"/>
        <v>0</v>
      </c>
      <c r="S50" t="str">
        <f t="shared" si="28"/>
        <v>1</v>
      </c>
      <c r="T50" t="str">
        <f t="shared" si="28"/>
        <v>0</v>
      </c>
      <c r="U50" t="str">
        <f t="shared" si="28"/>
        <v>0</v>
      </c>
      <c r="V50" t="str">
        <f t="shared" si="28"/>
        <v>0</v>
      </c>
      <c r="X50">
        <f>C7</f>
        <v>10280</v>
      </c>
      <c r="Z50">
        <f>X50</f>
        <v>10280</v>
      </c>
    </row>
    <row r="51" spans="5:33" ht="15.75" thickBot="1" x14ac:dyDescent="0.3">
      <c r="E51" s="3" t="s">
        <v>42</v>
      </c>
      <c r="F51" s="3" t="str">
        <f>F14</f>
        <v>1101001101001110</v>
      </c>
      <c r="G51" s="3" t="str">
        <f>G44</f>
        <v>1</v>
      </c>
      <c r="H51" s="3" t="str">
        <f t="shared" ref="H51:V51" si="29">H44</f>
        <v>1</v>
      </c>
      <c r="I51" s="3" t="str">
        <f t="shared" si="29"/>
        <v>0</v>
      </c>
      <c r="J51" s="3" t="str">
        <f t="shared" si="29"/>
        <v>1</v>
      </c>
      <c r="K51" s="3" t="str">
        <f t="shared" si="29"/>
        <v>0</v>
      </c>
      <c r="L51" s="3" t="str">
        <f t="shared" si="29"/>
        <v>0</v>
      </c>
      <c r="M51" s="3" t="str">
        <f t="shared" si="29"/>
        <v>1</v>
      </c>
      <c r="N51" s="3" t="str">
        <f t="shared" si="29"/>
        <v>1</v>
      </c>
      <c r="O51" s="3" t="str">
        <f t="shared" si="29"/>
        <v>0</v>
      </c>
      <c r="P51" s="3" t="str">
        <f t="shared" si="29"/>
        <v>1</v>
      </c>
      <c r="Q51" s="3" t="str">
        <f t="shared" si="29"/>
        <v>0</v>
      </c>
      <c r="R51" s="3" t="str">
        <f t="shared" si="29"/>
        <v>0</v>
      </c>
      <c r="S51" s="3" t="str">
        <f t="shared" si="29"/>
        <v>1</v>
      </c>
      <c r="T51" s="3" t="str">
        <f t="shared" si="29"/>
        <v>1</v>
      </c>
      <c r="U51" s="3" t="str">
        <f t="shared" si="29"/>
        <v>1</v>
      </c>
      <c r="V51" s="3" t="str">
        <f t="shared" si="29"/>
        <v>0</v>
      </c>
      <c r="X51" s="3">
        <f>C14</f>
        <v>-11442</v>
      </c>
      <c r="Z51" s="3">
        <f>X51</f>
        <v>-11442</v>
      </c>
      <c r="AB51" t="s">
        <v>55</v>
      </c>
      <c r="AC51" t="s">
        <v>56</v>
      </c>
      <c r="AD51" t="s">
        <v>57</v>
      </c>
      <c r="AE51" t="s">
        <v>50</v>
      </c>
      <c r="AF51" t="s">
        <v>51</v>
      </c>
      <c r="AG51" t="s">
        <v>54</v>
      </c>
    </row>
    <row r="52" spans="5:33" x14ac:dyDescent="0.25">
      <c r="E52" t="s">
        <v>38</v>
      </c>
      <c r="F52" t="str">
        <f>RIGHT(_xlfn.BASE(65536-(C7+C14),2,16),16)</f>
        <v>0000010010001010</v>
      </c>
      <c r="G52" t="str">
        <f>MID($F52,1,1)</f>
        <v>0</v>
      </c>
      <c r="H52" t="str">
        <f>MID($F52,2,1)</f>
        <v>0</v>
      </c>
      <c r="I52" t="str">
        <f>MID($F52,3,1)</f>
        <v>0</v>
      </c>
      <c r="J52" t="str">
        <f>MID($F52,4,1)</f>
        <v>0</v>
      </c>
      <c r="K52" t="str">
        <f>MID($F52,5,1)</f>
        <v>0</v>
      </c>
      <c r="L52" t="str">
        <f>MID($F52,6,1)</f>
        <v>1</v>
      </c>
      <c r="M52" t="str">
        <f>MID($F52,7,1)</f>
        <v>0</v>
      </c>
      <c r="N52" t="str">
        <f>MID($F52,8,1)</f>
        <v>0</v>
      </c>
      <c r="O52" t="str">
        <f>MID($F52,9,1)</f>
        <v>1</v>
      </c>
      <c r="P52" t="str">
        <f>MID($F52,10,1)</f>
        <v>0</v>
      </c>
      <c r="Q52" t="str">
        <f>MID($F52,11,1)</f>
        <v>0</v>
      </c>
      <c r="R52" t="str">
        <f>MID($F52,12,1)</f>
        <v>0</v>
      </c>
      <c r="S52" t="str">
        <f>MID($F52,13,1)</f>
        <v>1</v>
      </c>
      <c r="T52" t="str">
        <f>MID($F52,14,1)</f>
        <v>0</v>
      </c>
      <c r="U52" t="str">
        <f>MID($F52,15,1)</f>
        <v>1</v>
      </c>
      <c r="V52" t="str">
        <f>MID($F52,16,1)</f>
        <v>0</v>
      </c>
      <c r="X52">
        <f>IF(LEFT(F52,1)="1",-1*(BIN2DEC(LEFT(F52,1))*32768) +BIN2DEC(MID(F52,2,7))*256 + BIN2DEC(RIGHT(F52,8)),BIN2DEC(LEFT(F52,8))*256 + BIN2DEC(RIGHT(F52,8)))</f>
        <v>1162</v>
      </c>
      <c r="Z52">
        <f>Z50+Z51</f>
        <v>-1162</v>
      </c>
    </row>
    <row r="56" spans="5:33" x14ac:dyDescent="0.25">
      <c r="E56" t="s">
        <v>45</v>
      </c>
      <c r="F56" t="str">
        <f>F17</f>
        <v>1111101101110110</v>
      </c>
      <c r="G56" t="str">
        <f>G17</f>
        <v>1</v>
      </c>
      <c r="H56" t="str">
        <f t="shared" ref="H56:V56" si="30">H17</f>
        <v>1</v>
      </c>
      <c r="I56" t="str">
        <f t="shared" si="30"/>
        <v>1</v>
      </c>
      <c r="J56" t="str">
        <f t="shared" si="30"/>
        <v>1</v>
      </c>
      <c r="K56" t="str">
        <f t="shared" si="30"/>
        <v>1</v>
      </c>
      <c r="L56" t="str">
        <f t="shared" si="30"/>
        <v>0</v>
      </c>
      <c r="M56" t="str">
        <f t="shared" si="30"/>
        <v>1</v>
      </c>
      <c r="N56" t="str">
        <f t="shared" si="30"/>
        <v>1</v>
      </c>
      <c r="O56" t="str">
        <f t="shared" si="30"/>
        <v>0</v>
      </c>
      <c r="P56" t="str">
        <f t="shared" si="30"/>
        <v>1</v>
      </c>
      <c r="Q56" t="str">
        <f t="shared" si="30"/>
        <v>1</v>
      </c>
      <c r="R56" t="str">
        <f t="shared" si="30"/>
        <v>1</v>
      </c>
      <c r="S56" t="str">
        <f t="shared" si="30"/>
        <v>0</v>
      </c>
      <c r="T56" t="str">
        <f t="shared" si="30"/>
        <v>1</v>
      </c>
      <c r="U56" t="str">
        <f t="shared" si="30"/>
        <v>1</v>
      </c>
      <c r="V56" t="str">
        <f t="shared" si="30"/>
        <v>0</v>
      </c>
      <c r="X56">
        <f>C17</f>
        <v>-1162</v>
      </c>
      <c r="Z56">
        <f>X56</f>
        <v>-1162</v>
      </c>
    </row>
    <row r="57" spans="5:33" ht="15.75" thickBot="1" x14ac:dyDescent="0.3">
      <c r="E57" s="3" t="s">
        <v>39</v>
      </c>
      <c r="F57" s="3" t="str">
        <f>F9</f>
        <v>0101010011011010</v>
      </c>
      <c r="G57" s="3" t="str">
        <f>G9</f>
        <v>0</v>
      </c>
      <c r="H57" s="3" t="str">
        <f t="shared" ref="H57:V57" si="31">H9</f>
        <v>1</v>
      </c>
      <c r="I57" s="3" t="str">
        <f t="shared" si="31"/>
        <v>0</v>
      </c>
      <c r="J57" s="3" t="str">
        <f t="shared" si="31"/>
        <v>1</v>
      </c>
      <c r="K57" s="3" t="str">
        <f t="shared" si="31"/>
        <v>0</v>
      </c>
      <c r="L57" s="3" t="str">
        <f t="shared" si="31"/>
        <v>1</v>
      </c>
      <c r="M57" s="3" t="str">
        <f t="shared" si="31"/>
        <v>0</v>
      </c>
      <c r="N57" s="3" t="str">
        <f t="shared" si="31"/>
        <v>0</v>
      </c>
      <c r="O57" s="3" t="str">
        <f t="shared" si="31"/>
        <v>1</v>
      </c>
      <c r="P57" s="3" t="str">
        <f t="shared" si="31"/>
        <v>1</v>
      </c>
      <c r="Q57" s="3" t="str">
        <f t="shared" si="31"/>
        <v>0</v>
      </c>
      <c r="R57" s="3" t="str">
        <f t="shared" si="31"/>
        <v>1</v>
      </c>
      <c r="S57" s="3" t="str">
        <f t="shared" si="31"/>
        <v>1</v>
      </c>
      <c r="T57" s="3" t="str">
        <f t="shared" si="31"/>
        <v>0</v>
      </c>
      <c r="U57" s="3" t="str">
        <f t="shared" si="31"/>
        <v>1</v>
      </c>
      <c r="V57" s="3" t="str">
        <f t="shared" si="31"/>
        <v>0</v>
      </c>
      <c r="X57" s="3">
        <f>C9</f>
        <v>21722</v>
      </c>
      <c r="Z57" s="3">
        <f>X57</f>
        <v>21722</v>
      </c>
      <c r="AB57" t="s">
        <v>47</v>
      </c>
      <c r="AC57" t="s">
        <v>48</v>
      </c>
      <c r="AD57" t="s">
        <v>58</v>
      </c>
      <c r="AE57" t="s">
        <v>50</v>
      </c>
      <c r="AF57" t="s">
        <v>51</v>
      </c>
      <c r="AG57" t="s">
        <v>52</v>
      </c>
    </row>
    <row r="58" spans="5:33" x14ac:dyDescent="0.25">
      <c r="E58" t="s">
        <v>38</v>
      </c>
      <c r="F58" t="str">
        <f>_xlfn.BASE(C9+C17,2,16)</f>
        <v>0101000001010000</v>
      </c>
      <c r="G58" t="str">
        <f>MID($F58,1,1)</f>
        <v>0</v>
      </c>
      <c r="H58" t="str">
        <f>MID($F58,2,1)</f>
        <v>1</v>
      </c>
      <c r="I58" t="str">
        <f>MID($F58,3,1)</f>
        <v>0</v>
      </c>
      <c r="J58" t="str">
        <f>MID($F58,4,1)</f>
        <v>1</v>
      </c>
      <c r="K58" t="str">
        <f>MID($F58,5,1)</f>
        <v>0</v>
      </c>
      <c r="L58" t="str">
        <f>MID($F58,6,1)</f>
        <v>0</v>
      </c>
      <c r="M58" t="str">
        <f>MID($F58,7,1)</f>
        <v>0</v>
      </c>
      <c r="N58" t="str">
        <f>MID($F58,8,1)</f>
        <v>0</v>
      </c>
      <c r="O58" t="str">
        <f>MID($F58,9,1)</f>
        <v>0</v>
      </c>
      <c r="P58" t="str">
        <f>MID($F58,10,1)</f>
        <v>1</v>
      </c>
      <c r="Q58" t="str">
        <f>MID($F58,11,1)</f>
        <v>0</v>
      </c>
      <c r="R58" t="str">
        <f>MID($F58,12,1)</f>
        <v>1</v>
      </c>
      <c r="S58" t="str">
        <f>MID($F58,13,1)</f>
        <v>0</v>
      </c>
      <c r="T58" t="str">
        <f>MID($F58,14,1)</f>
        <v>0</v>
      </c>
      <c r="U58" t="str">
        <f>MID($F58,15,1)</f>
        <v>0</v>
      </c>
      <c r="V58" t="str">
        <f>MID($F58,16,1)</f>
        <v>0</v>
      </c>
      <c r="X58">
        <f>IF(LEFT(F58,1)="1",-1*(BIN2DEC(LEFT(F58,1))*32768) +BIN2DEC(MID(F58,2,7))*256 + BIN2DEC(RIGHT(F58,8)),BIN2DEC(LEFT(F58,8))*256 + BIN2DEC(RIGHT(F58,8)))</f>
        <v>20560</v>
      </c>
      <c r="Z58">
        <f>Z56+Z57</f>
        <v>20560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227C94-92A3-4CEA-B0B5-1C26A79A07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Киселев Тимофей Васильевич</dc:creator>
  <cp:lastModifiedBy>Киселев Тимофей Васильевич</cp:lastModifiedBy>
  <dcterms:created xsi:type="dcterms:W3CDTF">2025-11-18T20:41:43Z</dcterms:created>
  <dcterms:modified xsi:type="dcterms:W3CDTF">2025-11-19T22:47:16Z</dcterms:modified>
</cp:coreProperties>
</file>